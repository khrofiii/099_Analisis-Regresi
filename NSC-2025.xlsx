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7B17B4F-140C-474A-9E52-12A2267AF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2" i="6" l="1"/>
  <c r="B122" i="6"/>
  <c r="T5" i="6" a="1"/>
  <c r="T5" i="6"/>
  <c r="T4" i="6"/>
  <c r="S5" i="6"/>
  <c r="S4" i="6"/>
  <c r="M4" i="6" l="1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3" i="6"/>
  <c r="M122" i="6" s="1"/>
  <c r="N4" i="6"/>
  <c r="P4" i="6" s="1"/>
  <c r="N5" i="6"/>
  <c r="P5" i="6" s="1"/>
  <c r="N6" i="6"/>
  <c r="P6" i="6" s="1"/>
  <c r="N7" i="6"/>
  <c r="P7" i="6" s="1"/>
  <c r="N8" i="6"/>
  <c r="P8" i="6" s="1"/>
  <c r="N9" i="6"/>
  <c r="P9" i="6" s="1"/>
  <c r="N10" i="6"/>
  <c r="P10" i="6" s="1"/>
  <c r="N11" i="6"/>
  <c r="P11" i="6" s="1"/>
  <c r="N12" i="6"/>
  <c r="P12" i="6" s="1"/>
  <c r="N13" i="6"/>
  <c r="P13" i="6" s="1"/>
  <c r="N14" i="6"/>
  <c r="P14" i="6" s="1"/>
  <c r="N15" i="6"/>
  <c r="P15" i="6" s="1"/>
  <c r="N16" i="6"/>
  <c r="P16" i="6" s="1"/>
  <c r="N17" i="6"/>
  <c r="P17" i="6" s="1"/>
  <c r="N18" i="6"/>
  <c r="P18" i="6" s="1"/>
  <c r="N19" i="6"/>
  <c r="P19" i="6" s="1"/>
  <c r="N20" i="6"/>
  <c r="P20" i="6" s="1"/>
  <c r="N21" i="6"/>
  <c r="P21" i="6" s="1"/>
  <c r="N22" i="6"/>
  <c r="P22" i="6" s="1"/>
  <c r="N23" i="6"/>
  <c r="P23" i="6" s="1"/>
  <c r="N24" i="6"/>
  <c r="P24" i="6" s="1"/>
  <c r="N25" i="6"/>
  <c r="P25" i="6" s="1"/>
  <c r="N26" i="6"/>
  <c r="P26" i="6" s="1"/>
  <c r="N27" i="6"/>
  <c r="P27" i="6" s="1"/>
  <c r="N28" i="6"/>
  <c r="P28" i="6" s="1"/>
  <c r="N29" i="6"/>
  <c r="P29" i="6" s="1"/>
  <c r="N30" i="6"/>
  <c r="P30" i="6" s="1"/>
  <c r="N31" i="6"/>
  <c r="P31" i="6" s="1"/>
  <c r="N32" i="6"/>
  <c r="P32" i="6" s="1"/>
  <c r="N33" i="6"/>
  <c r="P33" i="6" s="1"/>
  <c r="N34" i="6"/>
  <c r="P34" i="6" s="1"/>
  <c r="N35" i="6"/>
  <c r="P35" i="6" s="1"/>
  <c r="N36" i="6"/>
  <c r="P36" i="6" s="1"/>
  <c r="N37" i="6"/>
  <c r="P37" i="6" s="1"/>
  <c r="N38" i="6"/>
  <c r="P38" i="6" s="1"/>
  <c r="N39" i="6"/>
  <c r="P39" i="6" s="1"/>
  <c r="N40" i="6"/>
  <c r="P40" i="6" s="1"/>
  <c r="N41" i="6"/>
  <c r="P41" i="6" s="1"/>
  <c r="N42" i="6"/>
  <c r="P42" i="6" s="1"/>
  <c r="N43" i="6"/>
  <c r="P43" i="6" s="1"/>
  <c r="N44" i="6"/>
  <c r="P44" i="6" s="1"/>
  <c r="N45" i="6"/>
  <c r="P45" i="6" s="1"/>
  <c r="N46" i="6"/>
  <c r="P46" i="6" s="1"/>
  <c r="N47" i="6"/>
  <c r="P47" i="6" s="1"/>
  <c r="N48" i="6"/>
  <c r="P48" i="6" s="1"/>
  <c r="N49" i="6"/>
  <c r="P49" i="6" s="1"/>
  <c r="N50" i="6"/>
  <c r="P50" i="6" s="1"/>
  <c r="N51" i="6"/>
  <c r="P51" i="6" s="1"/>
  <c r="N52" i="6"/>
  <c r="P52" i="6" s="1"/>
  <c r="N53" i="6"/>
  <c r="P53" i="6" s="1"/>
  <c r="N54" i="6"/>
  <c r="P54" i="6" s="1"/>
  <c r="N55" i="6"/>
  <c r="P55" i="6" s="1"/>
  <c r="N56" i="6"/>
  <c r="P56" i="6" s="1"/>
  <c r="N57" i="6"/>
  <c r="P57" i="6" s="1"/>
  <c r="N58" i="6"/>
  <c r="P58" i="6" s="1"/>
  <c r="N59" i="6"/>
  <c r="P59" i="6" s="1"/>
  <c r="N60" i="6"/>
  <c r="P60" i="6" s="1"/>
  <c r="N61" i="6"/>
  <c r="P61" i="6" s="1"/>
  <c r="N62" i="6"/>
  <c r="P62" i="6" s="1"/>
  <c r="N63" i="6"/>
  <c r="P63" i="6" s="1"/>
  <c r="N64" i="6"/>
  <c r="P64" i="6" s="1"/>
  <c r="N65" i="6"/>
  <c r="P65" i="6" s="1"/>
  <c r="N66" i="6"/>
  <c r="P66" i="6" s="1"/>
  <c r="N67" i="6"/>
  <c r="P67" i="6" s="1"/>
  <c r="N68" i="6"/>
  <c r="P68" i="6" s="1"/>
  <c r="N69" i="6"/>
  <c r="P69" i="6" s="1"/>
  <c r="N70" i="6"/>
  <c r="P70" i="6" s="1"/>
  <c r="N71" i="6"/>
  <c r="P71" i="6" s="1"/>
  <c r="N72" i="6"/>
  <c r="P72" i="6" s="1"/>
  <c r="N73" i="6"/>
  <c r="P73" i="6" s="1"/>
  <c r="N74" i="6"/>
  <c r="P74" i="6" s="1"/>
  <c r="N75" i="6"/>
  <c r="P75" i="6" s="1"/>
  <c r="N76" i="6"/>
  <c r="P76" i="6" s="1"/>
  <c r="N77" i="6"/>
  <c r="P77" i="6" s="1"/>
  <c r="N78" i="6"/>
  <c r="P78" i="6" s="1"/>
  <c r="N79" i="6"/>
  <c r="P79" i="6" s="1"/>
  <c r="N80" i="6"/>
  <c r="P80" i="6" s="1"/>
  <c r="N81" i="6"/>
  <c r="P81" i="6" s="1"/>
  <c r="N82" i="6"/>
  <c r="P82" i="6" s="1"/>
  <c r="N83" i="6"/>
  <c r="P83" i="6" s="1"/>
  <c r="N84" i="6"/>
  <c r="P84" i="6" s="1"/>
  <c r="N85" i="6"/>
  <c r="P85" i="6" s="1"/>
  <c r="N86" i="6"/>
  <c r="P86" i="6" s="1"/>
  <c r="N87" i="6"/>
  <c r="P87" i="6" s="1"/>
  <c r="N88" i="6"/>
  <c r="P88" i="6" s="1"/>
  <c r="N89" i="6"/>
  <c r="P89" i="6" s="1"/>
  <c r="N90" i="6"/>
  <c r="P90" i="6" s="1"/>
  <c r="N91" i="6"/>
  <c r="P91" i="6" s="1"/>
  <c r="N92" i="6"/>
  <c r="P92" i="6" s="1"/>
  <c r="N93" i="6"/>
  <c r="P93" i="6" s="1"/>
  <c r="N94" i="6"/>
  <c r="P94" i="6" s="1"/>
  <c r="N95" i="6"/>
  <c r="P95" i="6" s="1"/>
  <c r="N96" i="6"/>
  <c r="P96" i="6" s="1"/>
  <c r="N97" i="6"/>
  <c r="P97" i="6" s="1"/>
  <c r="N98" i="6"/>
  <c r="P98" i="6" s="1"/>
  <c r="N99" i="6"/>
  <c r="P99" i="6" s="1"/>
  <c r="N100" i="6"/>
  <c r="P100" i="6" s="1"/>
  <c r="N101" i="6"/>
  <c r="P101" i="6" s="1"/>
  <c r="N102" i="6"/>
  <c r="P102" i="6" s="1"/>
  <c r="N103" i="6"/>
  <c r="P103" i="6" s="1"/>
  <c r="N104" i="6"/>
  <c r="P104" i="6" s="1"/>
  <c r="N105" i="6"/>
  <c r="P105" i="6" s="1"/>
  <c r="N106" i="6"/>
  <c r="P106" i="6" s="1"/>
  <c r="N107" i="6"/>
  <c r="P107" i="6" s="1"/>
  <c r="N108" i="6"/>
  <c r="P108" i="6" s="1"/>
  <c r="N109" i="6"/>
  <c r="P109" i="6" s="1"/>
  <c r="N110" i="6"/>
  <c r="P110" i="6" s="1"/>
  <c r="N111" i="6"/>
  <c r="P111" i="6" s="1"/>
  <c r="N112" i="6"/>
  <c r="P112" i="6" s="1"/>
  <c r="N113" i="6"/>
  <c r="P113" i="6" s="1"/>
  <c r="N114" i="6"/>
  <c r="P114" i="6" s="1"/>
  <c r="N115" i="6"/>
  <c r="P115" i="6" s="1"/>
  <c r="N116" i="6"/>
  <c r="P116" i="6" s="1"/>
  <c r="N117" i="6"/>
  <c r="P117" i="6" s="1"/>
  <c r="N118" i="6"/>
  <c r="P118" i="6" s="1"/>
  <c r="N119" i="6"/>
  <c r="P119" i="6" s="1"/>
  <c r="N120" i="6"/>
  <c r="P120" i="6" s="1"/>
  <c r="N121" i="6"/>
  <c r="P121" i="6" s="1"/>
  <c r="N3" i="6"/>
  <c r="P3" i="6" l="1"/>
  <c r="P122" i="6" s="1"/>
  <c r="N122" i="6"/>
  <c r="O121" i="6"/>
  <c r="Q121" i="6"/>
  <c r="O120" i="6"/>
  <c r="Q120" i="6"/>
  <c r="O119" i="6"/>
  <c r="Q119" i="6"/>
  <c r="O118" i="6"/>
  <c r="Q118" i="6"/>
  <c r="O117" i="6"/>
  <c r="Q117" i="6"/>
  <c r="O116" i="6"/>
  <c r="Q116" i="6"/>
  <c r="O115" i="6"/>
  <c r="Q115" i="6"/>
  <c r="O114" i="6"/>
  <c r="Q114" i="6"/>
  <c r="O113" i="6"/>
  <c r="Q113" i="6"/>
  <c r="O112" i="6"/>
  <c r="Q112" i="6"/>
  <c r="O111" i="6"/>
  <c r="Q111" i="6"/>
  <c r="O110" i="6"/>
  <c r="Q110" i="6"/>
  <c r="O109" i="6"/>
  <c r="Q109" i="6"/>
  <c r="O108" i="6"/>
  <c r="Q108" i="6"/>
  <c r="O107" i="6"/>
  <c r="Q107" i="6"/>
  <c r="O106" i="6"/>
  <c r="Q106" i="6"/>
  <c r="O105" i="6"/>
  <c r="Q105" i="6"/>
  <c r="O104" i="6"/>
  <c r="Q104" i="6"/>
  <c r="O103" i="6"/>
  <c r="Q103" i="6"/>
  <c r="O102" i="6"/>
  <c r="Q102" i="6"/>
  <c r="O101" i="6"/>
  <c r="Q101" i="6"/>
  <c r="O100" i="6"/>
  <c r="Q100" i="6"/>
  <c r="O99" i="6"/>
  <c r="Q99" i="6"/>
  <c r="O98" i="6"/>
  <c r="Q98" i="6"/>
  <c r="O97" i="6"/>
  <c r="Q97" i="6"/>
  <c r="O96" i="6"/>
  <c r="Q96" i="6"/>
  <c r="O95" i="6"/>
  <c r="Q95" i="6"/>
  <c r="O94" i="6"/>
  <c r="Q94" i="6"/>
  <c r="O93" i="6"/>
  <c r="Q93" i="6"/>
  <c r="O92" i="6"/>
  <c r="Q92" i="6"/>
  <c r="O91" i="6"/>
  <c r="Q91" i="6"/>
  <c r="O90" i="6"/>
  <c r="Q90" i="6"/>
  <c r="O89" i="6"/>
  <c r="Q89" i="6"/>
  <c r="O88" i="6"/>
  <c r="Q88" i="6"/>
  <c r="O87" i="6"/>
  <c r="Q87" i="6"/>
  <c r="O86" i="6"/>
  <c r="Q86" i="6"/>
  <c r="O85" i="6"/>
  <c r="Q85" i="6"/>
  <c r="O84" i="6"/>
  <c r="Q84" i="6"/>
  <c r="O83" i="6"/>
  <c r="Q83" i="6"/>
  <c r="O82" i="6"/>
  <c r="Q82" i="6"/>
  <c r="O81" i="6"/>
  <c r="Q81" i="6"/>
  <c r="O80" i="6"/>
  <c r="Q80" i="6"/>
  <c r="O79" i="6"/>
  <c r="Q79" i="6"/>
  <c r="O78" i="6"/>
  <c r="Q78" i="6"/>
  <c r="O77" i="6"/>
  <c r="Q77" i="6"/>
  <c r="O76" i="6"/>
  <c r="Q76" i="6"/>
  <c r="O75" i="6"/>
  <c r="Q75" i="6"/>
  <c r="O74" i="6"/>
  <c r="Q74" i="6"/>
  <c r="O73" i="6"/>
  <c r="Q73" i="6"/>
  <c r="O72" i="6"/>
  <c r="Q72" i="6"/>
  <c r="O71" i="6"/>
  <c r="Q71" i="6"/>
  <c r="O70" i="6"/>
  <c r="Q70" i="6"/>
  <c r="O69" i="6"/>
  <c r="Q69" i="6"/>
  <c r="O68" i="6"/>
  <c r="Q68" i="6"/>
  <c r="O67" i="6"/>
  <c r="Q67" i="6"/>
  <c r="O66" i="6"/>
  <c r="Q66" i="6"/>
  <c r="O65" i="6"/>
  <c r="Q65" i="6"/>
  <c r="O64" i="6"/>
  <c r="Q64" i="6"/>
  <c r="O63" i="6"/>
  <c r="Q63" i="6"/>
  <c r="O62" i="6"/>
  <c r="Q62" i="6"/>
  <c r="O61" i="6"/>
  <c r="Q61" i="6"/>
  <c r="O60" i="6"/>
  <c r="Q60" i="6"/>
  <c r="O59" i="6"/>
  <c r="Q59" i="6"/>
  <c r="O58" i="6"/>
  <c r="Q58" i="6"/>
  <c r="O57" i="6"/>
  <c r="Q57" i="6"/>
  <c r="O56" i="6"/>
  <c r="Q56" i="6"/>
  <c r="O55" i="6"/>
  <c r="Q55" i="6"/>
  <c r="O54" i="6"/>
  <c r="Q54" i="6"/>
  <c r="O53" i="6"/>
  <c r="Q53" i="6"/>
  <c r="O52" i="6"/>
  <c r="Q52" i="6"/>
  <c r="O51" i="6"/>
  <c r="Q51" i="6"/>
  <c r="O50" i="6"/>
  <c r="Q50" i="6"/>
  <c r="O49" i="6"/>
  <c r="Q49" i="6"/>
  <c r="O48" i="6"/>
  <c r="Q48" i="6"/>
  <c r="O47" i="6"/>
  <c r="Q47" i="6"/>
  <c r="O46" i="6"/>
  <c r="Q46" i="6"/>
  <c r="O45" i="6"/>
  <c r="Q45" i="6"/>
  <c r="O44" i="6"/>
  <c r="Q44" i="6"/>
  <c r="O43" i="6"/>
  <c r="Q43" i="6"/>
  <c r="O42" i="6"/>
  <c r="Q42" i="6"/>
  <c r="O41" i="6"/>
  <c r="Q41" i="6"/>
  <c r="O40" i="6"/>
  <c r="Q40" i="6"/>
  <c r="O39" i="6"/>
  <c r="Q39" i="6"/>
  <c r="O38" i="6"/>
  <c r="Q38" i="6"/>
  <c r="O37" i="6"/>
  <c r="Q37" i="6"/>
  <c r="O36" i="6"/>
  <c r="Q36" i="6"/>
  <c r="O35" i="6"/>
  <c r="Q35" i="6"/>
  <c r="O34" i="6"/>
  <c r="Q34" i="6"/>
  <c r="O33" i="6"/>
  <c r="Q33" i="6"/>
  <c r="O32" i="6"/>
  <c r="Q32" i="6"/>
  <c r="O31" i="6"/>
  <c r="Q31" i="6"/>
  <c r="O30" i="6"/>
  <c r="Q30" i="6"/>
  <c r="O29" i="6"/>
  <c r="Q29" i="6"/>
  <c r="O28" i="6"/>
  <c r="Q28" i="6"/>
  <c r="O27" i="6"/>
  <c r="Q27" i="6"/>
  <c r="O26" i="6"/>
  <c r="Q26" i="6"/>
  <c r="O25" i="6"/>
  <c r="Q25" i="6"/>
  <c r="O24" i="6"/>
  <c r="Q24" i="6"/>
  <c r="O23" i="6"/>
  <c r="Q23" i="6"/>
  <c r="O22" i="6"/>
  <c r="Q22" i="6"/>
  <c r="O21" i="6"/>
  <c r="Q21" i="6"/>
  <c r="O20" i="6"/>
  <c r="Q20" i="6"/>
  <c r="O19" i="6"/>
  <c r="Q19" i="6"/>
  <c r="O18" i="6"/>
  <c r="Q18" i="6"/>
  <c r="O17" i="6"/>
  <c r="Q17" i="6"/>
  <c r="O16" i="6"/>
  <c r="Q16" i="6"/>
  <c r="O15" i="6"/>
  <c r="Q15" i="6"/>
  <c r="O14" i="6"/>
  <c r="Q14" i="6"/>
  <c r="O13" i="6"/>
  <c r="Q13" i="6"/>
  <c r="O12" i="6"/>
  <c r="Q12" i="6"/>
  <c r="O11" i="6"/>
  <c r="Q11" i="6"/>
  <c r="O10" i="6"/>
  <c r="Q10" i="6"/>
  <c r="O9" i="6"/>
  <c r="Q9" i="6"/>
  <c r="O8" i="6"/>
  <c r="Q8" i="6"/>
  <c r="O7" i="6"/>
  <c r="Q7" i="6"/>
  <c r="O6" i="6"/>
  <c r="Q6" i="6"/>
  <c r="O5" i="6"/>
  <c r="Q5" i="6"/>
  <c r="O4" i="6"/>
  <c r="Q4" i="6"/>
  <c r="Q3" i="6"/>
  <c r="Q122" i="6" s="1"/>
  <c r="T9" i="6" s="1"/>
  <c r="T8" i="6" s="1"/>
  <c r="O3" i="6"/>
  <c r="O12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<sst xmlns="http://schemas.openxmlformats.org/spreadsheetml/2006/main" count="2293" uniqueCount="1722">
  <si>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</si>
  <si>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</si>
  <si>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</si>
  <si>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</si>
  <si>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</si>
  <si>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</si>
  <si>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</si>
  <si>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</si>
  <si>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</si>
  <si>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</si>
  <si>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</si>
  <si>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</si>
  <si>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</si>
  <si>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</si>
  <si>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</si>
  <si>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</si>
  <si>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</si>
  <si>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</si>
  <si>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</si>
  <si>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</si>
  <si>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</si>
  <si>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</si>
  <si>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</si>
  <si>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</si>
  <si>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</si>
  <si>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</si>
  <si>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</si>
  <si>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</si>
  <si>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</si>
  <si>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</si>
  <si>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</si>
  <si>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</si>
  <si>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</si>
  <si>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</si>
  <si>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</si>
  <si>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</si>
  <si>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</si>
  <si>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</si>
  <si>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</si>
  <si>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</si>
  <si>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</si>
  <si>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</si>
  <si>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</si>
  <si>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</si>
  <si>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</si>
  <si>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</si>
  <si>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</si>
  <si>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</si>
  <si>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</si>
  <si>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</si>
  <si>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</si>
  <si>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</si>
  <si>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</si>
  <si>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</si>
  <si>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</si>
  <si>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</si>
  <si>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</si>
  <si>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</si>
  <si>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</si>
  <si>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</si>
  <si>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</si>
  <si>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</si>
  <si>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</si>
  <si>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</si>
  <si>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</si>
  <si>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</si>
  <si>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</si>
  <si>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</si>
  <si>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</si>
  <si>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</si>
  <si>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</si>
  <si>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</si>
  <si>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</si>
  <si>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</si>
  <si>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</si>
  <si>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</si>
  <si>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</si>
  <si>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</si>
  <si>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</si>
  <si>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</si>
  <si>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</si>
  <si>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</si>
  <si>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</si>
  <si>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</si>
  <si>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</si>
  <si>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</si>
  <si>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</si>
  <si>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</si>
  <si>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</si>
  <si>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</si>
  <si>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</si>
  <si>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</si>
  <si>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</si>
  <si>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</si>
  <si>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</si>
  <si>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</si>
  <si>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</si>
  <si>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</si>
  <si>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</si>
  <si>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</si>
  <si>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</si>
  <si>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</si>
  <si>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</si>
  <si>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</si>
  <si>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</si>
  <si>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</si>
  <si>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</si>
  <si>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</si>
  <si>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</si>
  <si>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</si>
  <si>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</si>
  <si>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</si>
  <si>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</si>
  <si>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</si>
  <si>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</si>
  <si>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</si>
  <si>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</si>
  <si>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</si>
  <si>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</si>
  <si>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</si>
  <si>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</si>
  <si>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</si>
  <si>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</si>
  <si>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</si>
  <si>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</si>
  <si>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</si>
  <si>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</si>
  <si>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</si>
  <si>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</si>
  <si>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</si>
  <si>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</si>
  <si>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</si>
  <si>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</si>
  <si>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</si>
  <si>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</si>
  <si>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</si>
  <si>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</si>
  <si>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</si>
  <si>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</si>
  <si>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</si>
  <si>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</si>
  <si>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</si>
  <si>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</si>
  <si>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</si>
  <si>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</si>
  <si>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</si>
  <si>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</si>
  <si>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</si>
  <si>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</si>
  <si>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</si>
  <si>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</si>
  <si>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</si>
  <si>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</si>
  <si>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</si>
  <si>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</si>
  <si>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</si>
  <si>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</si>
  <si>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</si>
  <si>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</si>
  <si>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</si>
  <si>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</si>
  <si>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</si>
  <si>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</si>
  <si>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</si>
  <si>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</si>
  <si>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</si>
  <si>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</si>
  <si>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</si>
  <si>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</si>
  <si>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</si>
  <si>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</si>
  <si>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</si>
  <si>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</si>
  <si>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</si>
  <si>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</si>
  <si>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</si>
  <si>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</si>
  <si>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</si>
  <si>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</si>
  <si>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</si>
  <si>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</si>
  <si>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</si>
  <si>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</si>
  <si>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</si>
  <si>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</si>
  <si>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</si>
  <si>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</si>
  <si>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</si>
  <si>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</si>
  <si>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</si>
  <si>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</si>
  <si>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</si>
  <si>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</si>
  <si>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</si>
  <si>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</si>
  <si>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</si>
  <si>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</si>
  <si>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</si>
  <si>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</si>
  <si>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</si>
  <si>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</si>
  <si>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</si>
  <si>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</si>
  <si>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</si>
  <si>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</si>
  <si>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</si>
  <si>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</si>
  <si>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</si>
  <si>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</si>
  <si>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</si>
  <si>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</si>
  <si>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</si>
  <si>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</si>
  <si>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</si>
  <si>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</si>
  <si>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</si>
  <si>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</si>
  <si>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</si>
  <si>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</si>
  <si>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</si>
  <si>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</si>
  <si>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</si>
  <si>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</si>
  <si>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</si>
  <si>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</si>
  <si>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</si>
  <si>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</si>
  <si>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</si>
  <si>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</si>
  <si>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</si>
  <si>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</si>
  <si>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</si>
  <si>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</si>
  <si>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</si>
  <si>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</si>
  <si>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</si>
  <si>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</si>
  <si>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</si>
  <si>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</si>
  <si>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</si>
  <si>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</si>
  <si>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</si>
  <si>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</si>
  <si>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</si>
  <si>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</si>
  <si>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</si>
  <si>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</si>
  <si>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</si>
  <si>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</si>
  <si>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</si>
  <si>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</si>
  <si>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</si>
  <si>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</si>
  <si>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</si>
  <si>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</si>
  <si>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</si>
  <si>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</si>
  <si>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</si>
  <si>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</si>
  <si>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</si>
  <si>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</si>
  <si>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</si>
  <si>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</si>
  <si>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</si>
  <si>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</si>
  <si>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</si>
  <si>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</si>
  <si>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</si>
  <si>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</si>
  <si>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</si>
  <si>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</si>
  <si>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</si>
  <si>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</si>
  <si>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</si>
  <si>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</si>
  <si>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</si>
  <si>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</si>
  <si>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</si>
  <si>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</si>
  <si>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</si>
  <si>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</si>
  <si>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</si>
  <si>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</si>
  <si>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</si>
  <si>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</si>
  <si>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</si>
  <si>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</si>
  <si>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</si>
  <si>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</si>
  <si>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</si>
  <si>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</si>
  <si>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</si>
  <si>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</si>
  <si>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</si>
  <si>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</si>
  <si>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</si>
  <si>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</si>
  <si>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</si>
  <si>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</si>
  <si>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</si>
  <si>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</si>
  <si>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</si>
  <si>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</si>
  <si>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</si>
  <si>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</si>
  <si>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</si>
  <si>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</si>
  <si>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</si>
  <si>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</si>
  <si>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</si>
  <si>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</si>
  <si>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</si>
  <si>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</si>
  <si>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</si>
  <si>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</si>
  <si>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</si>
  <si>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</si>
  <si>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</si>
  <si>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</si>
  <si>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</si>
  <si>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</si>
  <si>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</si>
  <si>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</si>
  <si>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</si>
  <si>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</si>
  <si>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</si>
  <si>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</si>
  <si>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</si>
  <si>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</si>
  <si>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</si>
  <si>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</si>
  <si>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</si>
  <si>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</si>
  <si>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</si>
  <si>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</si>
  <si>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</si>
  <si>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</si>
  <si>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</si>
  <si>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</si>
  <si>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</si>
  <si>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</si>
  <si>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</si>
  <si>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</si>
  <si>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</si>
  <si>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</si>
  <si>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</si>
  <si>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</si>
  <si>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</si>
  <si>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</si>
  <si>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</si>
  <si>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</si>
  <si>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</si>
  <si>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</si>
  <si>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</si>
  <si>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</si>
  <si>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</si>
  <si>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</si>
  <si>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</si>
  <si>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</si>
  <si>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</si>
  <si>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</si>
  <si>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</si>
  <si>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</si>
  <si>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</si>
  <si>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</si>
  <si>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</si>
  <si>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</si>
  <si>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</si>
  <si>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</si>
  <si>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</si>
  <si>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</si>
  <si>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</si>
  <si>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</si>
  <si>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</si>
  <si>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</si>
  <si>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</si>
  <si>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</si>
  <si>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</si>
  <si>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</si>
  <si>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</si>
  <si>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</si>
  <si>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</si>
  <si>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</si>
  <si>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</si>
  <si>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</si>
  <si>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</si>
  <si>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</si>
  <si>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</si>
  <si>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</si>
  <si>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</si>
  <si>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</si>
  <si>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</si>
  <si>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</si>
  <si>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</si>
  <si>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</si>
  <si>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</si>
  <si>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</si>
  <si>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</si>
  <si>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</si>
  <si>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</si>
  <si>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</si>
  <si>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</si>
  <si>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</si>
  <si>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</si>
  <si>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</si>
  <si>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</si>
  <si>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</si>
  <si>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</si>
  <si>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</si>
  <si>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</si>
  <si>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</si>
  <si>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</si>
  <si>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</si>
  <si>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</si>
  <si>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</si>
  <si>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</si>
  <si>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</si>
  <si>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</si>
  <si>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</si>
  <si>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</si>
  <si>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</si>
  <si>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</si>
  <si>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</si>
  <si>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</si>
  <si>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</si>
  <si>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</si>
  <si>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</si>
  <si>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</si>
  <si>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</si>
  <si>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</si>
  <si>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</si>
  <si>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</si>
  <si>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</si>
  <si>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</si>
  <si>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</si>
  <si>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</si>
  <si>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</si>
  <si>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</si>
  <si>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</si>
  <si>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</si>
  <si>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</si>
  <si>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</si>
  <si>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</si>
  <si>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</si>
  <si>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</si>
  <si>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</si>
  <si>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</si>
  <si>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</si>
  <si>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</si>
  <si>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</si>
  <si>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</si>
  <si>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</si>
  <si>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</si>
  <si>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</si>
  <si>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</si>
  <si>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</si>
  <si>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</si>
  <si>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</si>
  <si>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</si>
  <si>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</si>
  <si>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</si>
  <si>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</si>
  <si>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</si>
  <si>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</si>
  <si>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</si>
  <si>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</si>
  <si>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</si>
  <si>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</si>
  <si>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</si>
  <si>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</si>
  <si>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</si>
  <si>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</si>
  <si>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</si>
  <si>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</si>
  <si>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</si>
  <si>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</si>
  <si>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</si>
  <si>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</si>
  <si>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</si>
  <si>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</si>
  <si>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</si>
  <si>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</si>
  <si>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</si>
  <si>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</si>
  <si>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</si>
  <si>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</si>
  <si>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</si>
  <si>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</si>
  <si>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</si>
  <si>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</si>
  <si>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</si>
  <si>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</si>
  <si>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</si>
  <si>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</si>
  <si>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</si>
  <si>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</si>
  <si>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</si>
  <si>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</si>
  <si>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</si>
  <si>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</si>
  <si>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</si>
  <si>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</si>
  <si>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</si>
  <si>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</si>
  <si>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</si>
  <si>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</si>
  <si>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</si>
  <si>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</si>
  <si>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</si>
  <si>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</si>
  <si>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</si>
  <si>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</si>
  <si>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</si>
  <si>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</si>
  <si>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</si>
  <si>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</si>
  <si>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</si>
  <si>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</si>
  <si>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</si>
  <si>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</si>
  <si>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</si>
  <si>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</si>
  <si>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</si>
  <si>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</si>
  <si>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</si>
  <si>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</si>
  <si>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</si>
  <si>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</si>
  <si>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</si>
  <si>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</si>
  <si>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</si>
  <si>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</si>
  <si>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</si>
  <si>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</si>
  <si>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</si>
  <si>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</si>
  <si>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</si>
  <si>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</si>
  <si>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</si>
  <si>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</si>
  <si>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</si>
  <si>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</si>
  <si>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</si>
  <si>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</si>
  <si>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</si>
  <si>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</si>
  <si>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</si>
  <si>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</si>
  <si>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</si>
  <si>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</si>
  <si>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</si>
  <si>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</si>
  <si>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</si>
  <si>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</si>
  <si>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</si>
  <si>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</si>
  <si>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</si>
  <si>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</si>
  <si>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</si>
  <si>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</si>
  <si>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</si>
  <si>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</si>
  <si>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</si>
  <si>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</si>
  <si>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</si>
  <si>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</si>
  <si>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</si>
  <si>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</si>
  <si>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</si>
  <si>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</si>
  <si>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</si>
  <si>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</si>
  <si>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</si>
  <si>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</si>
  <si>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</si>
  <si>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</si>
  <si>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</si>
  <si>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</si>
  <si>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</si>
  <si>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</si>
  <si>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</si>
  <si>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</si>
  <si>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</si>
  <si>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</si>
  <si>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</si>
  <si>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</si>
  <si>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</si>
  <si>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</si>
  <si>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</si>
  <si>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</si>
  <si>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</si>
  <si>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</si>
  <si>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</si>
  <si>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</si>
  <si>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</si>
  <si>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</si>
  <si>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</si>
  <si>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</si>
  <si>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</si>
  <si>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</si>
  <si>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</si>
  <si>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</si>
  <si>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</si>
  <si>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</si>
  <si>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</si>
  <si>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</si>
  <si>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</si>
  <si>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</si>
  <si>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</si>
  <si>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</si>
  <si>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</si>
  <si>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</si>
  <si>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</si>
  <si>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</si>
  <si>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</si>
  <si>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</si>
  <si>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</si>
  <si>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</si>
  <si>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</si>
  <si>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</si>
  <si>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</si>
  <si>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</si>
  <si>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</si>
  <si>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</si>
  <si>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</si>
  <si>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</si>
  <si>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</si>
  <si>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</si>
  <si>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</si>
  <si>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</si>
  <si>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</si>
  <si>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</si>
  <si>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</si>
  <si>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</si>
  <si>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</si>
  <si>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</si>
  <si>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</si>
  <si>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</si>
  <si>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</si>
  <si>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</si>
  <si>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</si>
  <si>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</si>
  <si>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</si>
  <si>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</si>
  <si>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</si>
  <si>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</si>
  <si>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</si>
  <si>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</si>
  <si>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</si>
  <si>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</si>
  <si>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</si>
  <si>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</si>
  <si>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</si>
  <si>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</si>
  <si>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</si>
  <si>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</si>
  <si>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</si>
  <si>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</si>
  <si>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</si>
  <si>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</si>
  <si>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</si>
  <si>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</si>
  <si>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</si>
  <si>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</si>
  <si>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</si>
  <si>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</si>
  <si>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</si>
  <si>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</si>
  <si>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</si>
  <si>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</si>
  <si>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</si>
  <si>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</si>
  <si>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</si>
  <si>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</si>
  <si>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</si>
  <si>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</si>
  <si>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</si>
  <si>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</si>
  <si>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</si>
  <si>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</si>
  <si>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</si>
  <si>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</si>
  <si>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</si>
  <si>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</si>
  <si>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</si>
  <si>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</si>
  <si>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</si>
  <si>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</si>
  <si>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</si>
  <si>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</si>
  <si>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</si>
  <si>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</si>
  <si>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</si>
  <si>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</si>
  <si>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</si>
  <si>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</si>
  <si>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</si>
  <si>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</si>
  <si>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</si>
  <si>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</si>
  <si>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</si>
  <si>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</si>
  <si>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</si>
  <si>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</si>
  <si>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</si>
  <si>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</si>
  <si>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</si>
  <si>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</si>
  <si>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</si>
  <si>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</si>
  <si>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</si>
  <si>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</si>
  <si>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</si>
  <si>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</si>
  <si>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</si>
  <si>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</si>
  <si>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</si>
  <si>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</si>
  <si>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</si>
  <si>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</si>
  <si>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</si>
  <si>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</si>
  <si>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</si>
  <si>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</si>
  <si>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</si>
  <si>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</si>
  <si>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</si>
  <si>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</si>
  <si>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</si>
  <si>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</si>
  <si>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</si>
  <si>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</si>
  <si>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</si>
  <si>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</si>
  <si>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</si>
  <si>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</si>
  <si>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</si>
  <si>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</si>
  <si>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</si>
  <si>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</si>
  <si>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</si>
  <si>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</si>
  <si>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</si>
  <si>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</si>
  <si>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</si>
  <si>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</si>
  <si>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</si>
  <si>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</si>
  <si>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</si>
  <si>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</si>
  <si>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</si>
  <si>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</si>
  <si>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</si>
  <si>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</si>
  <si>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</si>
  <si>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</si>
  <si>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</si>
  <si>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</si>
  <si>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</si>
  <si>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</si>
  <si>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</si>
  <si>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</si>
  <si>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</si>
  <si>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</si>
  <si>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</si>
  <si>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</si>
  <si>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</si>
  <si>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</si>
  <si>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</si>
  <si>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</si>
  <si>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</si>
  <si>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</si>
  <si>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</si>
  <si>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</si>
  <si>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</si>
  <si>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</si>
  <si>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</si>
  <si>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</si>
  <si>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</si>
  <si>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</si>
  <si>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</si>
  <si>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</si>
  <si>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</si>
  <si>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</si>
  <si>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</si>
  <si>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</si>
  <si>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</si>
  <si>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</si>
  <si>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</si>
  <si>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</si>
  <si>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</si>
  <si>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</si>
  <si>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</si>
  <si>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</si>
  <si>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</si>
  <si>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</si>
  <si>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</si>
  <si>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</si>
  <si>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</si>
  <si>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</si>
  <si>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</si>
  <si>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</si>
  <si>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</si>
  <si>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</si>
  <si>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</si>
  <si>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</si>
  <si>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</si>
  <si>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</si>
  <si>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</si>
  <si>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</si>
  <si>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</si>
  <si>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</si>
  <si>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</si>
  <si>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</si>
  <si>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</si>
  <si>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</si>
  <si>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</si>
  <si>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</si>
  <si>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</si>
  <si>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</si>
  <si>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</si>
  <si>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</si>
  <si>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</si>
  <si>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</si>
  <si>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</si>
  <si>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</si>
  <si>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</si>
  <si>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</si>
  <si>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</si>
  <si>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</si>
  <si>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</si>
  <si>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</si>
  <si>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</si>
  <si>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</si>
  <si>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</si>
  <si>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</si>
  <si>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</si>
  <si>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</si>
  <si>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</si>
  <si>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</si>
  <si>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</si>
  <si>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</si>
  <si>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</si>
  <si>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</si>
  <si>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</si>
  <si>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</si>
  <si>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</si>
  <si>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</si>
  <si>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</si>
  <si>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</si>
  <si>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</si>
  <si>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</si>
  <si>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</si>
  <si>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</si>
  <si>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</si>
  <si>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</si>
  <si>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</si>
  <si>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</si>
  <si>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</si>
  <si>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</si>
  <si>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</si>
  <si>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</si>
  <si>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</si>
  <si>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</si>
  <si>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</si>
  <si>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</si>
  <si>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</si>
  <si>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</si>
  <si>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</si>
  <si>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</si>
  <si>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</si>
  <si>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</si>
  <si>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</si>
  <si>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</si>
  <si>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</si>
  <si>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</si>
  <si>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</si>
  <si>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</si>
  <si>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</si>
  <si>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</si>
  <si>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</si>
  <si>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</si>
  <si>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</si>
  <si>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</si>
  <si>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</si>
  <si>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</si>
  <si>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</si>
  <si>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</si>
  <si>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</si>
  <si>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</si>
  <si>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</si>
  <si>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</si>
  <si>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</si>
  <si>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</si>
  <si>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</si>
  <si>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</si>
  <si>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</si>
  <si>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</si>
  <si>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</si>
  <si>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</si>
  <si>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</si>
  <si>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</si>
  <si>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</si>
  <si>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</si>
  <si>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</si>
  <si>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</si>
  <si>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</si>
  <si>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</si>
  <si>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</si>
  <si>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</si>
  <si>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</si>
  <si>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</si>
  <si>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</si>
  <si>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</si>
  <si>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</si>
  <si>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</si>
  <si>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</si>
  <si>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</si>
  <si>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</si>
  <si>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</si>
  <si>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</si>
  <si>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</si>
  <si>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</si>
  <si>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</si>
  <si>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</si>
  <si>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</si>
  <si>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</si>
  <si>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</si>
  <si>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</si>
  <si>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</si>
  <si>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</si>
  <si>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</si>
  <si>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</si>
  <si>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</si>
  <si>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</si>
  <si>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</si>
  <si>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</si>
  <si>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</si>
  <si>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</si>
  <si>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</si>
  <si>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</si>
  <si>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</si>
  <si>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</si>
  <si>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</si>
  <si>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</si>
  <si>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</si>
  <si>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</si>
  <si>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</si>
  <si>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</si>
  <si>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</si>
  <si>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</si>
  <si>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</si>
  <si>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</si>
  <si>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</si>
  <si>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</si>
  <si>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</si>
  <si>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</si>
  <si>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</si>
  <si>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</si>
  <si>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</si>
  <si>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</si>
  <si>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</si>
  <si>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</si>
  <si>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</si>
  <si>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</si>
  <si>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</si>
  <si>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</si>
  <si>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</si>
  <si>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</si>
  <si>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</si>
  <si>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</si>
  <si>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</si>
  <si>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</si>
  <si>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</si>
  <si>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</si>
  <si>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</si>
  <si>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</si>
  <si>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</si>
  <si>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</si>
  <si>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</si>
  <si>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</si>
  <si>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</si>
  <si>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</si>
  <si>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</si>
  <si>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</si>
  <si>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</si>
  <si>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</si>
  <si>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</si>
  <si>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</si>
  <si>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</si>
  <si>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</si>
  <si>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</si>
  <si>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</si>
  <si>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</si>
  <si>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</si>
  <si>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</si>
  <si>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</si>
  <si>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</si>
  <si>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</si>
  <si>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</si>
  <si>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</si>
  <si>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</si>
  <si>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</si>
  <si>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</si>
  <si>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</si>
  <si>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</si>
  <si>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</si>
  <si>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</si>
  <si>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</si>
  <si>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</si>
  <si>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</si>
  <si>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</si>
  <si>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</si>
  <si>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</si>
  <si>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</si>
  <si>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</si>
  <si>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</si>
  <si>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</si>
  <si>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</si>
  <si>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</si>
  <si>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</si>
  <si>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</si>
  <si>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</si>
  <si>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</si>
  <si>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</si>
  <si>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</si>
  <si>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</si>
  <si>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</si>
  <si>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</si>
  <si>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</si>
  <si>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</si>
  <si>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</si>
  <si>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</si>
  <si>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</si>
  <si>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</si>
  <si>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</si>
  <si>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</si>
  <si>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</si>
  <si>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</si>
  <si>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</si>
  <si>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</si>
  <si>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</si>
  <si>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</si>
  <si>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</si>
  <si>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</si>
  <si>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</si>
  <si>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</si>
  <si>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</si>
  <si>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</si>
  <si>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</si>
  <si>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</si>
  <si>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</si>
  <si>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</si>
  <si>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</si>
  <si>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</si>
  <si>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</si>
  <si>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</si>
  <si>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</si>
  <si>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</si>
  <si>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</si>
  <si>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</si>
  <si>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</si>
  <si>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</si>
  <si>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</si>
  <si>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</si>
  <si>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</si>
  <si>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</si>
  <si>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</si>
  <si>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</si>
  <si>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</si>
  <si>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</si>
  <si>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</si>
  <si>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</si>
  <si>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</si>
  <si>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</si>
  <si>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</si>
  <si>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</si>
  <si>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</si>
  <si>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</si>
  <si>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</si>
  <si>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</si>
  <si>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</si>
  <si>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</si>
  <si>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</si>
  <si>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</si>
  <si>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</si>
  <si>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</si>
  <si>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</si>
  <si>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</si>
  <si>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</si>
  <si>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</si>
  <si>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</si>
  <si>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</si>
  <si>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</si>
  <si>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</si>
  <si>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</si>
  <si>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</si>
  <si>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</si>
  <si>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</si>
  <si>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</si>
  <si>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</si>
  <si>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</si>
  <si>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</si>
  <si>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</si>
  <si>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</si>
  <si>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</si>
  <si>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</si>
  <si>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</si>
  <si>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</si>
  <si>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</si>
  <si>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</si>
  <si>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</si>
  <si>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</si>
  <si>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</si>
  <si>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</si>
  <si>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</si>
  <si>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</si>
  <si>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</si>
  <si>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</si>
  <si>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</si>
  <si>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</si>
  <si>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</si>
  <si>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</si>
  <si>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</si>
  <si>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</si>
  <si>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</si>
  <si>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</si>
  <si>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</si>
  <si>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</si>
  <si>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</si>
  <si>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</si>
  <si>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</si>
  <si>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</si>
  <si>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</si>
  <si>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</si>
  <si>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</si>
  <si>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</si>
  <si>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</si>
  <si>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</si>
  <si>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</si>
  <si>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</si>
  <si>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</si>
  <si>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</si>
  <si>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</si>
  <si>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</si>
  <si>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</si>
  <si>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</si>
  <si>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</si>
  <si>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</si>
  <si>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</si>
  <si>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</si>
  <si>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</si>
  <si>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</si>
  <si>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</si>
  <si>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</si>
  <si>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</si>
  <si>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</si>
  <si>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</si>
  <si>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</si>
  <si>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</si>
  <si>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</si>
  <si>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</si>
  <si>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</si>
  <si>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</si>
  <si>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</si>
  <si>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</si>
  <si>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</si>
  <si>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</si>
  <si>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</si>
  <si>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</si>
  <si>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</si>
  <si>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</si>
  <si>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</si>
  <si>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</si>
  <si>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</si>
  <si>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</si>
  <si>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</si>
  <si>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</si>
  <si>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</si>
  <si>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</si>
  <si>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</si>
  <si>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</si>
  <si>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</si>
  <si>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</si>
  <si>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</si>
  <si>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</si>
  <si>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</si>
  <si>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</si>
  <si>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</si>
  <si>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</si>
  <si>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</si>
  <si>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</si>
  <si>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</si>
  <si>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</si>
  <si>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</si>
  <si>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</si>
  <si>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</si>
  <si>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</si>
  <si>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</si>
  <si>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</si>
  <si>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</si>
  <si>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</si>
  <si>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</si>
  <si>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</si>
  <si>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</si>
  <si>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</si>
  <si>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</si>
  <si>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</si>
  <si>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</si>
  <si>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</si>
  <si>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</si>
  <si>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</si>
  <si>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</si>
  <si>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</si>
  <si>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</si>
  <si>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</si>
  <si>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</si>
  <si>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</si>
  <si>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</si>
  <si>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</si>
  <si>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</si>
  <si>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</si>
  <si>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</si>
  <si>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</si>
  <si>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</si>
  <si>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</si>
  <si>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</si>
  <si>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</si>
  <si>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</si>
  <si>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</si>
  <si>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</si>
  <si>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</si>
  <si>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</si>
  <si>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</si>
  <si>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</si>
  <si>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</si>
  <si>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</si>
  <si>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</si>
  <si>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</si>
  <si>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</si>
  <si>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</si>
  <si>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</si>
  <si>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</si>
  <si>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</si>
  <si>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</si>
  <si>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</si>
  <si>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</si>
  <si>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</si>
  <si>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</si>
  <si>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</si>
  <si>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</si>
  <si>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</si>
  <si>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</si>
  <si>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</si>
  <si>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</si>
  <si>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</si>
  <si>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</si>
  <si>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</si>
  <si>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</si>
  <si>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</si>
  <si>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</si>
  <si>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</si>
  <si>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</si>
  <si>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</si>
  <si>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</si>
  <si>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</si>
  <si>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</si>
  <si>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</si>
  <si>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</si>
  <si>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</si>
  <si>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</si>
  <si>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</si>
  <si>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</si>
  <si>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</si>
  <si>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</si>
  <si>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</si>
  <si>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</si>
  <si>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</si>
  <si>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</si>
  <si>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</si>
  <si>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</si>
  <si>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</si>
  <si>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</si>
  <si>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</si>
  <si>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</si>
  <si>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</si>
  <si>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</si>
  <si>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</si>
  <si>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</si>
  <si>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</si>
  <si>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</si>
  <si>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</si>
  <si>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</si>
  <si>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</si>
  <si>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</si>
  <si>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</si>
  <si>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</si>
  <si>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</si>
  <si>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</si>
  <si>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</si>
  <si>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</si>
  <si>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</si>
  <si>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</si>
  <si>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</si>
  <si>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</si>
  <si>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</si>
  <si>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</si>
  <si>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</si>
  <si>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</si>
  <si>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</si>
  <si>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</si>
  <si>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</si>
  <si>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</si>
  <si>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</si>
  <si>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</si>
  <si>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</si>
  <si>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</si>
  <si>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</si>
  <si>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</si>
  <si>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</si>
  <si>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</si>
  <si>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</si>
  <si>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</si>
  <si>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</si>
  <si>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</si>
  <si>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</si>
  <si>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</si>
  <si>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</si>
  <si>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</si>
  <si>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</si>
  <si>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</si>
  <si>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</si>
  <si>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</si>
  <si>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</si>
  <si>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</si>
  <si>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</si>
  <si>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</si>
  <si>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</si>
  <si>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</si>
  <si>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</si>
  <si>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</si>
  <si>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</si>
  <si>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</si>
  <si>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</si>
  <si>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</si>
  <si>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</si>
  <si>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</si>
  <si>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</si>
  <si>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</si>
  <si>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</si>
  <si>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</si>
  <si>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</si>
  <si>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</si>
  <si>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</si>
  <si>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</si>
  <si>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</si>
  <si>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</si>
  <si>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</si>
  <si>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</si>
  <si>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</si>
  <si>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</si>
  <si>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</si>
  <si>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</si>
  <si>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</si>
  <si>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</si>
  <si>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</si>
  <si>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</si>
  <si>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</si>
  <si>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</si>
  <si>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</si>
  <si>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</si>
  <si>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</si>
  <si>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</si>
  <si>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</si>
  <si>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</si>
  <si>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</si>
  <si>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</si>
  <si>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</si>
  <si>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</si>
  <si>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</si>
  <si>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</si>
  <si>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</si>
  <si>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</si>
  <si>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</si>
  <si>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</si>
  <si>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</si>
  <si>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</si>
  <si>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</si>
  <si>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</si>
  <si>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</si>
  <si>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</si>
  <si>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</si>
  <si>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</si>
  <si>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</si>
  <si>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</si>
  <si>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</si>
  <si>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</si>
  <si>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</si>
  <si>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</si>
  <si>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</si>
  <si>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</si>
  <si>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</si>
  <si>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</si>
  <si>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</si>
  <si>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</si>
  <si>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</si>
  <si>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</si>
  <si>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</si>
  <si>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</si>
  <si>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</si>
  <si>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</si>
  <si>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</si>
  <si>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</si>
  <si>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</si>
  <si>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</si>
  <si>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</si>
  <si>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</si>
  <si>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</si>
  <si>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</si>
  <si>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</si>
  <si>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</si>
  <si>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</si>
  <si>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</si>
  <si>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</si>
  <si>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</si>
  <si>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</si>
  <si>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</si>
  <si>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</si>
  <si>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</si>
  <si>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</si>
  <si>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</si>
  <si>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</si>
  <si>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</si>
  <si>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</si>
  <si>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</si>
  <si>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</si>
  <si>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</si>
  <si>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</si>
  <si>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</si>
  <si>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</si>
  <si>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</si>
  <si>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</si>
  <si>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</si>
  <si>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</si>
  <si>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</si>
  <si>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</si>
  <si>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</si>
  <si>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</si>
  <si>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</si>
  <si>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</si>
  <si>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</si>
  <si>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</si>
  <si>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</si>
  <si>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</si>
  <si>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</si>
  <si>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</si>
  <si>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</si>
  <si>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</si>
  <si>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</si>
  <si>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</si>
  <si>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</si>
  <si>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</si>
  <si>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</si>
  <si>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</si>
  <si>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</si>
  <si>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</si>
  <si>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</si>
  <si>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</si>
  <si>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</si>
  <si>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</si>
  <si>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</si>
  <si>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</si>
  <si>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</si>
  <si>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</si>
  <si>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</si>
  <si>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</si>
  <si>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</si>
  <si>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</si>
  <si>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</si>
  <si>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</si>
  <si>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</si>
  <si>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</si>
  <si>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</si>
  <si>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</si>
  <si>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</si>
  <si>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</si>
  <si>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</si>
  <si>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</si>
  <si>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</si>
  <si>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</si>
  <si>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</si>
  <si>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</si>
  <si>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</si>
  <si>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</si>
  <si>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</si>
  <si>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</si>
  <si>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</si>
  <si>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</si>
  <si>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</si>
  <si>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</si>
  <si>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</si>
  <si>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</si>
  <si>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</si>
  <si>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</si>
  <si>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</si>
  <si>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</si>
  <si>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</si>
  <si>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</si>
  <si>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</si>
  <si>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</si>
  <si>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</si>
  <si>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</si>
  <si>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</si>
  <si>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</si>
  <si>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</si>
  <si>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</si>
  <si>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</si>
  <si>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</si>
  <si>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</si>
  <si>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</si>
  <si>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</si>
  <si>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</si>
  <si>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</si>
  <si>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</si>
  <si>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</si>
  <si>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</si>
  <si>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</si>
  <si>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</si>
  <si>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</si>
  <si>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</si>
  <si>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</si>
  <si>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</si>
  <si>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</si>
  <si>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</si>
  <si>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</si>
  <si>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</si>
  <si>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</si>
  <si>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</si>
  <si>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</si>
  <si>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</si>
  <si>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</si>
  <si>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</si>
  <si>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</si>
  <si>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</si>
  <si>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</si>
  <si>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</si>
  <si>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</si>
  <si>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</si>
  <si>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</si>
  <si>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</si>
  <si>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</si>
  <si>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</si>
  <si>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</si>
  <si>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</si>
  <si>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</si>
  <si>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</si>
  <si>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</si>
  <si>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</si>
  <si>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</si>
  <si>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</si>
  <si>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</si>
  <si>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</si>
  <si>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</si>
  <si>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</si>
  <si>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</si>
  <si>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</si>
  <si>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</si>
  <si>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</si>
  <si>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</si>
  <si>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</si>
  <si>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</si>
  <si>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</si>
  <si>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</si>
  <si>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</si>
  <si>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</si>
  <si>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</si>
  <si>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</si>
  <si>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</si>
  <si>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</si>
  <si>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</si>
  <si>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</si>
  <si>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</si>
  <si>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</si>
  <si>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</si>
  <si>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</si>
  <si>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</si>
  <si>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</si>
  <si>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</si>
  <si>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</si>
  <si>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</si>
  <si>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</si>
  <si>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</si>
  <si>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</si>
  <si>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</si>
  <si>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</si>
  <si>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</si>
  <si>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</si>
  <si>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</si>
  <si>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</si>
  <si>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</si>
  <si>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</si>
  <si>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</si>
  <si>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</si>
  <si>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</si>
  <si>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</si>
  <si>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</si>
  <si>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</si>
  <si>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</si>
  <si>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</si>
  <si>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</si>
  <si>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</si>
  <si>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</si>
  <si>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</si>
  <si>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</si>
  <si>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</si>
  <si>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</si>
  <si>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</si>
  <si>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</si>
  <si>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</si>
  <si>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</si>
  <si>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</si>
  <si>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</si>
  <si>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</si>
  <si>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</si>
  <si>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</si>
  <si>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</si>
  <si>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</si>
  <si>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</si>
  <si>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</si>
  <si>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</si>
  <si>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</si>
  <si>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</si>
  <si>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</si>
  <si>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</si>
  <si>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</si>
  <si>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</si>
  <si>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</si>
  <si>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</si>
  <si>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</si>
  <si>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</si>
  <si>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</si>
  <si>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</si>
  <si>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</si>
  <si>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</si>
  <si>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</si>
  <si>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</si>
  <si>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</si>
  <si>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</si>
  <si>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</si>
  <si>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</si>
  <si>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</si>
  <si>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</si>
  <si>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</si>
  <si>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</si>
  <si>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</si>
  <si>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</si>
  <si>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</si>
  <si>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</si>
  <si>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</si>
  <si>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</si>
  <si>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</si>
  <si>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</si>
  <si>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</si>
  <si>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</si>
  <si>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</si>
  <si>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</si>
  <si>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</si>
  <si>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</si>
  <si>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</si>
  <si>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</si>
  <si>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</si>
  <si>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</si>
  <si>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</si>
  <si>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</si>
  <si>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</si>
  <si>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</si>
  <si>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</si>
  <si>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</si>
  <si>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</si>
  <si>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</si>
  <si>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</si>
  <si>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</si>
  <si>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</si>
  <si>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</si>
  <si>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</si>
  <si>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</si>
  <si>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</si>
  <si>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</si>
  <si>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</si>
  <si>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</si>
  <si>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</si>
  <si>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</si>
  <si>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</si>
  <si>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</si>
  <si>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</si>
  <si>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</si>
  <si>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</si>
  <si>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</si>
  <si>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</si>
  <si>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</si>
  <si>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</si>
  <si>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</si>
  <si>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</si>
  <si>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</si>
  <si>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</si>
  <si>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Yi-Ybar</t>
  </si>
  <si>
    <t>Xi-Xbar</t>
  </si>
  <si>
    <t>(Yi-Ybar)^2</t>
  </si>
  <si>
    <t>(Xi-Xbar)^2</t>
  </si>
  <si>
    <t>(Yi-Ybar)(Xi-Xbar)</t>
  </si>
  <si>
    <t>B0</t>
  </si>
  <si>
    <t>B1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</si>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</sst>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rgb="FFF28E8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12" borderId="2" xfId="0" applyFont="1" applyFill="1" applyBorder="1"/>
    <xf numFmtId="0" fontId="0" fillId="13" borderId="0" xfId="0" applyFill="1"/>
    <xf numFmtId="0" fontId="0" fillId="14" borderId="0" xfId="0" applyFill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T122"/>
  <sheetViews>
    <sheetView tabSelected="1" topLeftCell="A2" workbookViewId="0">
      <selection activeCell="D125" sqref="D125"/>
    </sheetView>
  </sheetViews>
  <sheetFormatPr defaultRowHeight="13.2" x14ac:dyDescent="0.25"/>
  <cols>
    <col min="1" max="1" width="29.77734375" customWidth="1"/>
    <col min="13" max="13" width="12" bestFit="1" customWidth="1"/>
    <col min="14" max="14" width="10.33203125" bestFit="1" customWidth="1"/>
    <col min="15" max="15" width="10.21875" customWidth="1"/>
    <col min="16" max="16" width="10.33203125" bestFit="1" customWidth="1"/>
    <col min="17" max="17" width="22.6640625" bestFit="1" customWidth="1"/>
  </cols>
  <sheetData>
    <row r="1" spans="1:20" s="31" customFormat="1" x14ac:dyDescent="0.25">
      <c r="B1" s="31" t="s">
        <v>1712</v>
      </c>
      <c r="C1" s="31" t="s">
        <v>1713</v>
      </c>
      <c r="D1" s="31" t="s">
        <v>1714</v>
      </c>
      <c r="E1" s="31" t="s">
        <v>1715</v>
      </c>
      <c r="F1" s="31" t="s">
        <v>1716</v>
      </c>
      <c r="G1" s="31" t="s">
        <v>1717</v>
      </c>
      <c r="H1" s="31" t="s">
        <v>1718</v>
      </c>
      <c r="I1" s="31" t="s">
        <v>1719</v>
      </c>
      <c r="J1" s="31" t="s">
        <v>1720</v>
      </c>
      <c r="K1" s="31" t="s">
        <v>1721</v>
      </c>
    </row>
    <row r="2" spans="1:20" ht="13.2" customHeight="1" x14ac:dyDescent="0.25">
      <c r="A2" s="15" t="s">
        <v>1</v>
      </c>
      <c r="B2" s="32" t="s">
        <v>2</v>
      </c>
      <c r="C2" s="14" t="s">
        <v>3</v>
      </c>
      <c r="D2" s="10" t="s">
        <v>4</v>
      </c>
      <c r="E2" s="13" t="s">
        <v>5</v>
      </c>
      <c r="F2" s="11" t="s">
        <v>6</v>
      </c>
      <c r="G2" s="12" t="s">
        <v>7</v>
      </c>
      <c r="H2" s="10" t="s">
        <v>8</v>
      </c>
      <c r="I2" s="13" t="s">
        <v>9</v>
      </c>
      <c r="J2" s="13" t="s">
        <v>11</v>
      </c>
      <c r="K2" s="11" t="s">
        <v>12</v>
      </c>
      <c r="M2" s="16" t="s">
        <v>1705</v>
      </c>
      <c r="N2" s="16" t="s">
        <v>1706</v>
      </c>
      <c r="O2" s="16" t="s">
        <v>1707</v>
      </c>
      <c r="P2" s="16" t="s">
        <v>1708</v>
      </c>
      <c r="Q2" s="16" t="s">
        <v>1709</v>
      </c>
    </row>
    <row r="3" spans="1:20" x14ac:dyDescent="0.25">
      <c r="A3" s="6" t="s">
        <v>588</v>
      </c>
      <c r="B3" s="6">
        <v>76.69</v>
      </c>
      <c r="C3" s="6">
        <v>9.26</v>
      </c>
      <c r="D3" s="6">
        <v>3268.5</v>
      </c>
      <c r="E3" s="6">
        <v>13.03</v>
      </c>
      <c r="F3" s="6">
        <v>89.1</v>
      </c>
      <c r="G3" s="6">
        <v>4.0599999999999996</v>
      </c>
      <c r="H3" s="6">
        <v>0.37</v>
      </c>
      <c r="I3" s="6">
        <v>93.62</v>
      </c>
      <c r="J3" s="6">
        <v>72.58</v>
      </c>
      <c r="K3" s="6">
        <v>7.93</v>
      </c>
      <c r="M3">
        <f>B3-$B$122</f>
        <v>0.94386554621844709</v>
      </c>
      <c r="N3">
        <f>C3-$C$122</f>
        <v>0.42764705882353304</v>
      </c>
      <c r="O3">
        <f>M3^2</f>
        <v>0.89088216933824749</v>
      </c>
      <c r="P3">
        <f>N3^2</f>
        <v>0.18288200692041834</v>
      </c>
      <c r="Q3">
        <f>M3*N3</f>
        <v>0.40364132476518638</v>
      </c>
    </row>
    <row r="4" spans="1:20" x14ac:dyDescent="0.25">
      <c r="A4" s="6" t="s">
        <v>591</v>
      </c>
      <c r="B4" s="6">
        <v>87.57</v>
      </c>
      <c r="C4" s="6">
        <v>11.95</v>
      </c>
      <c r="D4" s="6">
        <v>500422.7</v>
      </c>
      <c r="E4" s="6">
        <v>3.03</v>
      </c>
      <c r="F4" s="6">
        <v>92.61</v>
      </c>
      <c r="G4" s="6">
        <v>1.38</v>
      </c>
      <c r="H4" s="6">
        <v>3.74</v>
      </c>
      <c r="I4" s="6">
        <v>97.3</v>
      </c>
      <c r="J4" s="6">
        <v>64.81</v>
      </c>
      <c r="K4" s="6">
        <v>5.22</v>
      </c>
      <c r="M4">
        <f t="shared" ref="M4:M67" si="0">B4-$B$122</f>
        <v>11.823865546218443</v>
      </c>
      <c r="N4">
        <f t="shared" ref="N4:N67" si="1">C4-$C$122</f>
        <v>3.1176470588235325</v>
      </c>
      <c r="O4">
        <f t="shared" ref="O4:O67" si="2">M4^2</f>
        <v>139.80379645505155</v>
      </c>
      <c r="P4">
        <f t="shared" ref="P4:P67" si="3">N4^2</f>
        <v>9.7197231833910234</v>
      </c>
      <c r="Q4">
        <f t="shared" ref="Q4:Q67" si="4">M4*N4</f>
        <v>36.86263964409283</v>
      </c>
      <c r="S4">
        <f>INTERCEPT(B3:B121,C3:C121)</f>
        <v>50.353325164083934</v>
      </c>
      <c r="T4">
        <f>AVERAGE(B3:B121)-T5*AVERAGE(C3:C121)</f>
        <v>50.353325164084588</v>
      </c>
    </row>
    <row r="5" spans="1:20" x14ac:dyDescent="0.25">
      <c r="A5" s="6" t="s">
        <v>594</v>
      </c>
      <c r="B5" s="6">
        <v>84.76</v>
      </c>
      <c r="C5" s="6">
        <v>11.99</v>
      </c>
      <c r="D5" s="6">
        <v>362068.1</v>
      </c>
      <c r="E5" s="6">
        <v>4.09</v>
      </c>
      <c r="F5" s="6">
        <v>97.15</v>
      </c>
      <c r="G5" s="6">
        <v>26.73</v>
      </c>
      <c r="H5" s="6">
        <v>2.13</v>
      </c>
      <c r="I5" s="6">
        <v>95.9</v>
      </c>
      <c r="J5" s="6">
        <v>64.489999999999995</v>
      </c>
      <c r="K5" s="6">
        <v>6.95</v>
      </c>
      <c r="M5">
        <f t="shared" si="0"/>
        <v>9.0138655462184545</v>
      </c>
      <c r="N5">
        <f t="shared" si="1"/>
        <v>3.1576470588235335</v>
      </c>
      <c r="O5">
        <f t="shared" si="2"/>
        <v>81.249772085304116</v>
      </c>
      <c r="P5">
        <f t="shared" si="3"/>
        <v>9.9707349480969114</v>
      </c>
      <c r="Q5">
        <f t="shared" si="4"/>
        <v>28.462606030647486</v>
      </c>
      <c r="S5">
        <f>SLOPE(B3:B121,C3:C121)</f>
        <v>2.8749767427563082</v>
      </c>
      <c r="T5" cm="1">
        <f t="array" ref="T5">(SUM(C3:C121*B3:B121)-SUM(C3:C121)*SUM(B3:B121)/119)/(SUM(C3:C121^2)-(SUM(C3:C121)^2/119))</f>
        <v>2.874976742756234</v>
      </c>
    </row>
    <row r="6" spans="1:20" x14ac:dyDescent="0.25">
      <c r="A6" s="6" t="s">
        <v>598</v>
      </c>
      <c r="B6" s="6">
        <v>83.75</v>
      </c>
      <c r="C6" s="6">
        <v>11.61</v>
      </c>
      <c r="D6" s="6">
        <v>532606.9</v>
      </c>
      <c r="E6" s="6">
        <v>4.63</v>
      </c>
      <c r="F6" s="6">
        <v>90.3</v>
      </c>
      <c r="G6" s="6">
        <v>0.84</v>
      </c>
      <c r="H6" s="6">
        <v>0.01</v>
      </c>
      <c r="I6" s="6">
        <v>96.24</v>
      </c>
      <c r="J6" s="6">
        <v>65.12</v>
      </c>
      <c r="K6" s="6">
        <v>6.24</v>
      </c>
      <c r="M6">
        <f t="shared" si="0"/>
        <v>8.0038655462184494</v>
      </c>
      <c r="N6">
        <f t="shared" si="1"/>
        <v>2.7776470588235327</v>
      </c>
      <c r="O6">
        <f t="shared" si="2"/>
        <v>64.061863681942754</v>
      </c>
      <c r="P6">
        <f t="shared" si="3"/>
        <v>7.7153231833910221</v>
      </c>
      <c r="Q6">
        <f t="shared" si="4"/>
        <v>22.231913593672683</v>
      </c>
    </row>
    <row r="7" spans="1:20" x14ac:dyDescent="0.25">
      <c r="A7" s="6" t="s">
        <v>602</v>
      </c>
      <c r="B7" s="6">
        <v>84.4</v>
      </c>
      <c r="C7" s="6">
        <v>11.24</v>
      </c>
      <c r="D7" s="6">
        <v>383113.1</v>
      </c>
      <c r="E7" s="6">
        <v>3.94</v>
      </c>
      <c r="F7" s="6">
        <v>94.94</v>
      </c>
      <c r="G7" s="6">
        <v>5.3</v>
      </c>
      <c r="H7" s="6">
        <v>2.16</v>
      </c>
      <c r="I7" s="6">
        <v>95.66</v>
      </c>
      <c r="J7" s="6">
        <v>64.12</v>
      </c>
      <c r="K7" s="6">
        <v>6.18</v>
      </c>
      <c r="M7">
        <f t="shared" si="0"/>
        <v>8.6538655462184551</v>
      </c>
      <c r="N7">
        <f t="shared" si="1"/>
        <v>2.4076470588235335</v>
      </c>
      <c r="O7">
        <f t="shared" si="2"/>
        <v>74.889388892026844</v>
      </c>
      <c r="P7">
        <f t="shared" si="3"/>
        <v>5.7967643598616112</v>
      </c>
      <c r="Q7">
        <f t="shared" si="4"/>
        <v>20.835453929807173</v>
      </c>
    </row>
    <row r="8" spans="1:20" x14ac:dyDescent="0.25">
      <c r="A8" s="6" t="s">
        <v>606</v>
      </c>
      <c r="B8" s="6">
        <v>82.13</v>
      </c>
      <c r="C8" s="6">
        <v>10.85</v>
      </c>
      <c r="D8" s="6">
        <v>380461.1</v>
      </c>
      <c r="E8" s="6">
        <v>6.44</v>
      </c>
      <c r="F8" s="6">
        <v>91.39</v>
      </c>
      <c r="G8" s="6">
        <v>30.31</v>
      </c>
      <c r="H8" s="6">
        <v>0.52</v>
      </c>
      <c r="I8" s="6">
        <v>94.43</v>
      </c>
      <c r="J8" s="6">
        <v>67.77</v>
      </c>
      <c r="K8" s="6">
        <v>6.18</v>
      </c>
      <c r="M8">
        <f t="shared" si="0"/>
        <v>6.3838655462184448</v>
      </c>
      <c r="N8">
        <f t="shared" si="1"/>
        <v>2.0176470588235329</v>
      </c>
      <c r="O8">
        <f t="shared" si="2"/>
        <v>40.753739312194924</v>
      </c>
      <c r="P8">
        <f t="shared" si="3"/>
        <v>4.0708996539792528</v>
      </c>
      <c r="Q8">
        <f t="shared" si="4"/>
        <v>12.880387543252532</v>
      </c>
      <c r="S8" t="s">
        <v>1710</v>
      </c>
      <c r="T8">
        <f>B122-T9*C122</f>
        <v>50.353325164083934</v>
      </c>
    </row>
    <row r="9" spans="1:20" x14ac:dyDescent="0.25">
      <c r="A9" s="6" t="s">
        <v>611</v>
      </c>
      <c r="B9" s="6">
        <v>73.63</v>
      </c>
      <c r="C9" s="6">
        <v>8.89</v>
      </c>
      <c r="D9" s="6">
        <v>185882.34</v>
      </c>
      <c r="E9" s="6">
        <v>7.05</v>
      </c>
      <c r="F9" s="6">
        <v>67.180000000000007</v>
      </c>
      <c r="G9" s="6">
        <v>51.65</v>
      </c>
      <c r="H9" s="6">
        <v>3.94</v>
      </c>
      <c r="I9" s="6">
        <v>90.98</v>
      </c>
      <c r="J9" s="6">
        <v>66.3</v>
      </c>
      <c r="K9" s="6">
        <v>7.34</v>
      </c>
      <c r="M9">
        <f t="shared" si="0"/>
        <v>-2.1161344537815552</v>
      </c>
      <c r="N9">
        <f t="shared" si="1"/>
        <v>5.7647058823533825E-2</v>
      </c>
      <c r="O9">
        <f t="shared" si="2"/>
        <v>4.4780250264813608</v>
      </c>
      <c r="P9">
        <f t="shared" si="3"/>
        <v>3.3231833910039692E-3</v>
      </c>
      <c r="Q9">
        <f t="shared" si="4"/>
        <v>-0.12198892733565193</v>
      </c>
      <c r="S9" t="s">
        <v>1711</v>
      </c>
      <c r="T9">
        <f>Q122/P122</f>
        <v>2.8749767427563082</v>
      </c>
    </row>
    <row r="10" spans="1:20" x14ac:dyDescent="0.25">
      <c r="A10" s="6" t="s">
        <v>615</v>
      </c>
      <c r="B10" s="6">
        <v>70.180000000000007</v>
      </c>
      <c r="C10" s="6">
        <v>7.75</v>
      </c>
      <c r="D10" s="6">
        <v>55723.92</v>
      </c>
      <c r="E10" s="6">
        <v>6.87</v>
      </c>
      <c r="F10" s="6">
        <v>51.9</v>
      </c>
      <c r="G10" s="6">
        <v>17.13</v>
      </c>
      <c r="H10" s="6">
        <v>7.72</v>
      </c>
      <c r="I10" s="6">
        <v>89.38</v>
      </c>
      <c r="J10" s="6">
        <v>69.75</v>
      </c>
      <c r="K10" s="6">
        <v>7.11</v>
      </c>
      <c r="M10">
        <f t="shared" si="0"/>
        <v>-5.5661344537815438</v>
      </c>
      <c r="N10">
        <f t="shared" si="1"/>
        <v>-1.0823529411764667</v>
      </c>
      <c r="O10">
        <f t="shared" si="2"/>
        <v>30.981852757573964</v>
      </c>
      <c r="P10">
        <f t="shared" si="3"/>
        <v>1.171487889273348</v>
      </c>
      <c r="Q10">
        <f t="shared" si="4"/>
        <v>6.0245219970341202</v>
      </c>
    </row>
    <row r="11" spans="1:20" x14ac:dyDescent="0.25">
      <c r="A11" s="6" t="s">
        <v>619</v>
      </c>
      <c r="B11" s="6">
        <v>68.89</v>
      </c>
      <c r="C11" s="6">
        <v>7.91</v>
      </c>
      <c r="D11" s="6">
        <v>38208.18</v>
      </c>
      <c r="E11" s="6">
        <v>10.14</v>
      </c>
      <c r="F11" s="6">
        <v>63.3</v>
      </c>
      <c r="G11" s="6">
        <v>7.29</v>
      </c>
      <c r="H11" s="6">
        <v>5.48</v>
      </c>
      <c r="I11" s="6">
        <v>86.22</v>
      </c>
      <c r="J11" s="6">
        <v>72.63</v>
      </c>
      <c r="K11" s="6">
        <v>5.99</v>
      </c>
      <c r="M11">
        <f t="shared" si="0"/>
        <v>-6.8561344537815501</v>
      </c>
      <c r="N11">
        <f t="shared" si="1"/>
        <v>-0.9223529411764666</v>
      </c>
      <c r="O11">
        <f t="shared" si="2"/>
        <v>47.006579648330437</v>
      </c>
      <c r="P11">
        <f t="shared" si="3"/>
        <v>0.85073494809687844</v>
      </c>
      <c r="Q11">
        <f t="shared" si="4"/>
        <v>6.3237757785467199</v>
      </c>
    </row>
    <row r="12" spans="1:20" x14ac:dyDescent="0.25">
      <c r="A12" s="6" t="s">
        <v>621</v>
      </c>
      <c r="B12" s="6">
        <v>74.59</v>
      </c>
      <c r="C12" s="6">
        <v>9.4499999999999993</v>
      </c>
      <c r="D12" s="6">
        <v>97509.91</v>
      </c>
      <c r="E12" s="6">
        <v>6.19</v>
      </c>
      <c r="F12" s="6">
        <v>69.12</v>
      </c>
      <c r="G12" s="6">
        <v>52.91</v>
      </c>
      <c r="H12" s="6">
        <v>6.21</v>
      </c>
      <c r="I12" s="6">
        <v>95.1</v>
      </c>
      <c r="J12" s="6">
        <v>67.22</v>
      </c>
      <c r="K12" s="6">
        <v>6.36</v>
      </c>
      <c r="M12">
        <f t="shared" si="0"/>
        <v>-1.1561344537815472</v>
      </c>
      <c r="N12">
        <f t="shared" si="1"/>
        <v>0.61764705882353255</v>
      </c>
      <c r="O12">
        <f t="shared" si="2"/>
        <v>1.3366468752207565</v>
      </c>
      <c r="P12">
        <f t="shared" si="3"/>
        <v>0.38148788927336025</v>
      </c>
      <c r="Q12">
        <f t="shared" si="4"/>
        <v>-0.71408304498272401</v>
      </c>
    </row>
    <row r="13" spans="1:20" x14ac:dyDescent="0.25">
      <c r="A13" s="6" t="s">
        <v>625</v>
      </c>
      <c r="B13" s="6">
        <v>69.91</v>
      </c>
      <c r="C13" s="6">
        <v>8.31</v>
      </c>
      <c r="D13" s="6">
        <v>46270.92</v>
      </c>
      <c r="E13" s="6">
        <v>9.68</v>
      </c>
      <c r="F13" s="6">
        <v>49.99</v>
      </c>
      <c r="G13" s="6">
        <v>9.44</v>
      </c>
      <c r="H13" s="6">
        <v>9.4499999999999993</v>
      </c>
      <c r="I13" s="6">
        <v>84.24</v>
      </c>
      <c r="J13" s="6">
        <v>71.34</v>
      </c>
      <c r="K13" s="6">
        <v>6.96</v>
      </c>
      <c r="M13">
        <f t="shared" si="0"/>
        <v>-5.836134453781554</v>
      </c>
      <c r="N13">
        <f t="shared" si="1"/>
        <v>-0.52235294117646625</v>
      </c>
      <c r="O13">
        <f t="shared" si="2"/>
        <v>34.060465362616121</v>
      </c>
      <c r="P13">
        <f t="shared" si="3"/>
        <v>0.27285259515570481</v>
      </c>
      <c r="Q13">
        <f t="shared" si="4"/>
        <v>3.0485219970341042</v>
      </c>
    </row>
    <row r="14" spans="1:20" x14ac:dyDescent="0.25">
      <c r="A14" s="6" t="s">
        <v>629</v>
      </c>
      <c r="B14" s="6">
        <v>69.98</v>
      </c>
      <c r="C14" s="6">
        <v>8.32</v>
      </c>
      <c r="D14" s="6">
        <v>28879.68</v>
      </c>
      <c r="E14" s="6">
        <v>10.23</v>
      </c>
      <c r="F14" s="6">
        <v>54.68</v>
      </c>
      <c r="G14" s="6">
        <v>8.33</v>
      </c>
      <c r="H14" s="6">
        <v>9.57</v>
      </c>
      <c r="I14" s="6">
        <v>87.64</v>
      </c>
      <c r="J14" s="6">
        <v>68.760000000000005</v>
      </c>
      <c r="K14" s="6">
        <v>3.74</v>
      </c>
      <c r="M14">
        <f t="shared" si="0"/>
        <v>-5.7661344537815467</v>
      </c>
      <c r="N14">
        <f t="shared" si="1"/>
        <v>-0.51235294117646646</v>
      </c>
      <c r="O14">
        <f t="shared" si="2"/>
        <v>33.248306539086613</v>
      </c>
      <c r="P14">
        <f t="shared" si="3"/>
        <v>0.26250553633217572</v>
      </c>
      <c r="Q14">
        <f t="shared" si="4"/>
        <v>2.9542959466139331</v>
      </c>
    </row>
    <row r="15" spans="1:20" x14ac:dyDescent="0.25">
      <c r="A15" s="6" t="s">
        <v>631</v>
      </c>
      <c r="B15" s="6">
        <v>73.64</v>
      </c>
      <c r="C15" s="6">
        <v>8.33</v>
      </c>
      <c r="D15" s="6">
        <v>26360.94</v>
      </c>
      <c r="E15" s="6">
        <v>7.39</v>
      </c>
      <c r="F15" s="6">
        <v>77.12</v>
      </c>
      <c r="G15" s="6">
        <v>7.29</v>
      </c>
      <c r="H15" s="6">
        <v>3.27</v>
      </c>
      <c r="I15" s="6">
        <v>88.29</v>
      </c>
      <c r="J15" s="6">
        <v>68.14</v>
      </c>
      <c r="K15" s="6">
        <v>3.37</v>
      </c>
      <c r="M15">
        <f t="shared" si="0"/>
        <v>-2.1061344537815501</v>
      </c>
      <c r="N15">
        <f t="shared" si="1"/>
        <v>-0.50235294117646667</v>
      </c>
      <c r="O15">
        <f t="shared" si="2"/>
        <v>4.4358023374057085</v>
      </c>
      <c r="P15">
        <f t="shared" si="3"/>
        <v>0.25235847750864659</v>
      </c>
      <c r="Q15">
        <f t="shared" si="4"/>
        <v>1.0580228373702527</v>
      </c>
    </row>
    <row r="16" spans="1:20" x14ac:dyDescent="0.25">
      <c r="A16" s="6" t="s">
        <v>634</v>
      </c>
      <c r="B16" s="6">
        <v>71.56</v>
      </c>
      <c r="C16" s="6">
        <v>8.18</v>
      </c>
      <c r="D16" s="6">
        <v>20507.27</v>
      </c>
      <c r="E16" s="6">
        <v>11.88</v>
      </c>
      <c r="F16" s="6">
        <v>84.64</v>
      </c>
      <c r="G16" s="6">
        <v>2.27</v>
      </c>
      <c r="H16" s="6">
        <v>5.83</v>
      </c>
      <c r="I16" s="6">
        <v>88</v>
      </c>
      <c r="J16" s="6">
        <v>65.84</v>
      </c>
      <c r="K16" s="6">
        <v>7.78</v>
      </c>
      <c r="M16">
        <f t="shared" si="0"/>
        <v>-4.1861344537815484</v>
      </c>
      <c r="N16">
        <f t="shared" si="1"/>
        <v>-0.65235294117646703</v>
      </c>
      <c r="O16">
        <f t="shared" si="2"/>
        <v>17.523721665136943</v>
      </c>
      <c r="P16">
        <f t="shared" si="3"/>
        <v>0.42556435986158703</v>
      </c>
      <c r="Q16">
        <f t="shared" si="4"/>
        <v>2.7308371230845365</v>
      </c>
    </row>
    <row r="17" spans="1:17" x14ac:dyDescent="0.25">
      <c r="A17" s="6" t="s">
        <v>637</v>
      </c>
      <c r="B17" s="6">
        <v>72.3</v>
      </c>
      <c r="C17" s="6">
        <v>8.06</v>
      </c>
      <c r="D17" s="6">
        <v>39418.269999999997</v>
      </c>
      <c r="E17" s="6">
        <v>11</v>
      </c>
      <c r="F17" s="6">
        <v>87.92</v>
      </c>
      <c r="G17" s="6">
        <v>20.49</v>
      </c>
      <c r="H17" s="6">
        <v>5.87</v>
      </c>
      <c r="I17" s="6">
        <v>85.43</v>
      </c>
      <c r="J17" s="6">
        <v>69.27</v>
      </c>
      <c r="K17" s="6">
        <v>6.74</v>
      </c>
      <c r="M17">
        <f t="shared" si="0"/>
        <v>-3.4461344537815535</v>
      </c>
      <c r="N17">
        <f t="shared" si="1"/>
        <v>-0.77235294117646625</v>
      </c>
      <c r="O17">
        <f t="shared" si="2"/>
        <v>11.875842673540285</v>
      </c>
      <c r="P17">
        <f t="shared" si="3"/>
        <v>0.59652906574393794</v>
      </c>
      <c r="Q17">
        <f t="shared" si="4"/>
        <v>2.6616320810677379</v>
      </c>
    </row>
    <row r="18" spans="1:17" x14ac:dyDescent="0.25">
      <c r="A18" s="6" t="s">
        <v>641</v>
      </c>
      <c r="B18" s="6">
        <v>71.37</v>
      </c>
      <c r="C18" s="6">
        <v>7.99</v>
      </c>
      <c r="D18" s="6">
        <v>27438.93</v>
      </c>
      <c r="E18" s="6">
        <v>10.82</v>
      </c>
      <c r="F18" s="6">
        <v>83.61</v>
      </c>
      <c r="G18" s="6">
        <v>25.94</v>
      </c>
      <c r="H18" s="6">
        <v>9.02</v>
      </c>
      <c r="I18" s="6">
        <v>87.98</v>
      </c>
      <c r="J18" s="6">
        <v>69.64</v>
      </c>
      <c r="K18" s="6">
        <v>4.01</v>
      </c>
      <c r="M18">
        <f t="shared" si="0"/>
        <v>-4.3761344537815461</v>
      </c>
      <c r="N18">
        <f t="shared" si="1"/>
        <v>-0.84235294117646653</v>
      </c>
      <c r="O18">
        <f t="shared" si="2"/>
        <v>19.150552757573912</v>
      </c>
      <c r="P18">
        <f t="shared" si="3"/>
        <v>0.70955847750864365</v>
      </c>
      <c r="Q18">
        <f t="shared" si="4"/>
        <v>3.6862497281265552</v>
      </c>
    </row>
    <row r="19" spans="1:17" x14ac:dyDescent="0.25">
      <c r="A19" s="6" t="s">
        <v>644</v>
      </c>
      <c r="B19" s="6">
        <v>74.569999999999993</v>
      </c>
      <c r="C19" s="6">
        <v>8.86</v>
      </c>
      <c r="D19" s="6">
        <v>27965.759999999998</v>
      </c>
      <c r="E19" s="6">
        <v>9.1</v>
      </c>
      <c r="F19" s="6">
        <v>77.319999999999993</v>
      </c>
      <c r="G19" s="6">
        <v>19.32</v>
      </c>
      <c r="H19" s="6">
        <v>-1.1299999999999999</v>
      </c>
      <c r="I19" s="6">
        <v>96.22</v>
      </c>
      <c r="J19" s="6">
        <v>69.239999999999995</v>
      </c>
      <c r="K19" s="6">
        <v>6.16</v>
      </c>
      <c r="M19">
        <f t="shared" si="0"/>
        <v>-1.1761344537815575</v>
      </c>
      <c r="N19">
        <f t="shared" si="1"/>
        <v>2.7647058823532689E-2</v>
      </c>
      <c r="O19">
        <f t="shared" si="2"/>
        <v>1.3832922533720424</v>
      </c>
      <c r="P19">
        <f t="shared" si="3"/>
        <v>7.6435986159187667E-4</v>
      </c>
      <c r="Q19">
        <f t="shared" si="4"/>
        <v>-3.2516658428082205E-2</v>
      </c>
    </row>
    <row r="20" spans="1:17" x14ac:dyDescent="0.25">
      <c r="A20" s="6" t="s">
        <v>647</v>
      </c>
      <c r="B20" s="6">
        <v>70.72</v>
      </c>
      <c r="C20" s="6">
        <v>7.45</v>
      </c>
      <c r="D20" s="6">
        <v>68701.960000000006</v>
      </c>
      <c r="E20" s="6">
        <v>11.93</v>
      </c>
      <c r="F20" s="6">
        <v>97.27</v>
      </c>
      <c r="G20" s="6">
        <v>43.89</v>
      </c>
      <c r="H20" s="6">
        <v>0</v>
      </c>
      <c r="I20" s="6">
        <v>89.78</v>
      </c>
      <c r="J20" s="6">
        <v>66.430000000000007</v>
      </c>
      <c r="K20" s="6">
        <v>6.25</v>
      </c>
      <c r="M20">
        <f t="shared" si="0"/>
        <v>-5.0261344537815518</v>
      </c>
      <c r="N20">
        <f t="shared" si="1"/>
        <v>-1.3823529411764666</v>
      </c>
      <c r="O20">
        <f t="shared" si="2"/>
        <v>25.262027547489978</v>
      </c>
      <c r="P20">
        <f t="shared" si="3"/>
        <v>1.9108996539792276</v>
      </c>
      <c r="Q20">
        <f t="shared" si="4"/>
        <v>6.9478917449333011</v>
      </c>
    </row>
    <row r="21" spans="1:17" x14ac:dyDescent="0.25">
      <c r="A21" s="6" t="s">
        <v>651</v>
      </c>
      <c r="B21" s="6">
        <v>72.05</v>
      </c>
      <c r="C21" s="6">
        <v>7.88</v>
      </c>
      <c r="D21" s="6">
        <v>33126.46</v>
      </c>
      <c r="E21" s="6">
        <v>9.49</v>
      </c>
      <c r="F21" s="6">
        <v>90.29</v>
      </c>
      <c r="G21" s="6">
        <v>12.76</v>
      </c>
      <c r="H21" s="6">
        <v>4.8600000000000003</v>
      </c>
      <c r="I21" s="6">
        <v>92.11</v>
      </c>
      <c r="J21" s="6">
        <v>71.709999999999994</v>
      </c>
      <c r="K21" s="6">
        <v>6.73</v>
      </c>
      <c r="M21">
        <f t="shared" si="0"/>
        <v>-3.6961344537815535</v>
      </c>
      <c r="N21">
        <f t="shared" si="1"/>
        <v>-0.95235294117646685</v>
      </c>
      <c r="O21">
        <f t="shared" si="2"/>
        <v>13.661409900431062</v>
      </c>
      <c r="P21">
        <f t="shared" si="3"/>
        <v>0.9069761245674669</v>
      </c>
      <c r="Q21">
        <f t="shared" si="4"/>
        <v>3.5200245180425362</v>
      </c>
    </row>
    <row r="22" spans="1:17" x14ac:dyDescent="0.25">
      <c r="A22" s="6" t="s">
        <v>655</v>
      </c>
      <c r="B22" s="6">
        <v>73.989999999999995</v>
      </c>
      <c r="C22" s="6">
        <v>8.4</v>
      </c>
      <c r="D22" s="6">
        <v>54142.29</v>
      </c>
      <c r="E22" s="6">
        <v>8.41</v>
      </c>
      <c r="F22" s="6">
        <v>83.01</v>
      </c>
      <c r="G22" s="6">
        <v>57.6</v>
      </c>
      <c r="H22" s="6">
        <v>3.46</v>
      </c>
      <c r="I22" s="6">
        <v>87.96</v>
      </c>
      <c r="J22" s="6">
        <v>66.62</v>
      </c>
      <c r="K22" s="6">
        <v>7.34</v>
      </c>
      <c r="M22">
        <f t="shared" si="0"/>
        <v>-1.7561344537815557</v>
      </c>
      <c r="N22">
        <f t="shared" si="1"/>
        <v>-0.43235294117646639</v>
      </c>
      <c r="O22">
        <f t="shared" si="2"/>
        <v>3.0840082197586431</v>
      </c>
      <c r="P22">
        <f t="shared" si="3"/>
        <v>0.186929065743941</v>
      </c>
      <c r="Q22">
        <f t="shared" si="4"/>
        <v>0.75926989619378293</v>
      </c>
    </row>
    <row r="23" spans="1:17" x14ac:dyDescent="0.25">
      <c r="A23" s="6" t="s">
        <v>659</v>
      </c>
      <c r="B23" s="6">
        <v>73.819999999999993</v>
      </c>
      <c r="C23" s="6">
        <v>8.5399999999999991</v>
      </c>
      <c r="D23" s="6">
        <v>194903.1</v>
      </c>
      <c r="E23" s="6">
        <v>7.86</v>
      </c>
      <c r="F23" s="6">
        <v>85.99</v>
      </c>
      <c r="G23" s="6">
        <v>69.91</v>
      </c>
      <c r="H23" s="6">
        <v>2.91</v>
      </c>
      <c r="I23" s="6">
        <v>91.98</v>
      </c>
      <c r="J23" s="6">
        <v>63.67</v>
      </c>
      <c r="K23" s="6">
        <v>8.0399999999999991</v>
      </c>
      <c r="M23">
        <f t="shared" si="0"/>
        <v>-1.9261344537815575</v>
      </c>
      <c r="N23">
        <f t="shared" si="1"/>
        <v>-0.2923529411764676</v>
      </c>
      <c r="O23">
        <f t="shared" si="2"/>
        <v>3.7099939340443786</v>
      </c>
      <c r="P23">
        <f t="shared" si="3"/>
        <v>8.5470242214531117E-2</v>
      </c>
      <c r="Q23">
        <f t="shared" si="4"/>
        <v>0.56311107266436722</v>
      </c>
    </row>
    <row r="24" spans="1:17" x14ac:dyDescent="0.25">
      <c r="A24" s="6" t="s">
        <v>663</v>
      </c>
      <c r="B24" s="6">
        <v>76.8</v>
      </c>
      <c r="C24" s="6">
        <v>10.19</v>
      </c>
      <c r="D24" s="6">
        <v>293664.78999999998</v>
      </c>
      <c r="E24" s="6">
        <v>4.8</v>
      </c>
      <c r="F24" s="6">
        <v>89.16</v>
      </c>
      <c r="G24" s="6">
        <v>76.959999999999994</v>
      </c>
      <c r="H24" s="6">
        <v>4.93</v>
      </c>
      <c r="I24" s="6">
        <v>90.18</v>
      </c>
      <c r="J24" s="6">
        <v>65.11</v>
      </c>
      <c r="K24" s="6">
        <v>8.82</v>
      </c>
      <c r="M24">
        <f t="shared" si="0"/>
        <v>1.0538655462184465</v>
      </c>
      <c r="N24">
        <f t="shared" si="1"/>
        <v>1.3576470588235328</v>
      </c>
      <c r="O24">
        <f t="shared" si="2"/>
        <v>1.1106325895063047</v>
      </c>
      <c r="P24">
        <f t="shared" si="3"/>
        <v>1.8432055363321891</v>
      </c>
      <c r="Q24">
        <f t="shared" si="4"/>
        <v>1.4307774592189297</v>
      </c>
    </row>
    <row r="25" spans="1:17" x14ac:dyDescent="0.25">
      <c r="A25" s="6" t="s">
        <v>667</v>
      </c>
      <c r="B25" s="6">
        <v>70.77</v>
      </c>
      <c r="C25" s="6">
        <v>8.57</v>
      </c>
      <c r="D25" s="6">
        <v>36793.68</v>
      </c>
      <c r="E25" s="6">
        <v>10.49</v>
      </c>
      <c r="F25" s="6">
        <v>54.02</v>
      </c>
      <c r="G25" s="6">
        <v>40.85</v>
      </c>
      <c r="H25" s="6">
        <v>3.14</v>
      </c>
      <c r="I25" s="6">
        <v>81.59</v>
      </c>
      <c r="J25" s="6">
        <v>68.3</v>
      </c>
      <c r="K25" s="6">
        <v>6.7</v>
      </c>
      <c r="M25">
        <f t="shared" si="0"/>
        <v>-4.9761344537815546</v>
      </c>
      <c r="N25">
        <f t="shared" si="1"/>
        <v>-0.26235294117646646</v>
      </c>
      <c r="O25">
        <f t="shared" si="2"/>
        <v>24.761914102111852</v>
      </c>
      <c r="P25">
        <f t="shared" si="3"/>
        <v>6.8829065743942472E-2</v>
      </c>
      <c r="Q25">
        <f t="shared" si="4"/>
        <v>1.3055035096391403</v>
      </c>
    </row>
    <row r="26" spans="1:17" x14ac:dyDescent="0.25">
      <c r="A26" s="6" t="s">
        <v>671</v>
      </c>
      <c r="B26" s="6">
        <v>71.03</v>
      </c>
      <c r="C26" s="6">
        <v>8.4700000000000006</v>
      </c>
      <c r="D26" s="6">
        <v>9324.31</v>
      </c>
      <c r="E26" s="6">
        <v>8.75</v>
      </c>
      <c r="F26" s="6">
        <v>90.3</v>
      </c>
      <c r="G26" s="6">
        <v>4.87</v>
      </c>
      <c r="H26" s="6">
        <v>2.5299999999999998</v>
      </c>
      <c r="I26" s="6">
        <v>91.22</v>
      </c>
      <c r="J26" s="6">
        <v>80.12</v>
      </c>
      <c r="K26" s="6">
        <v>1.58</v>
      </c>
      <c r="M26">
        <f t="shared" si="0"/>
        <v>-4.7161344537815495</v>
      </c>
      <c r="N26">
        <f t="shared" si="1"/>
        <v>-0.3623529411764661</v>
      </c>
      <c r="O26">
        <f t="shared" si="2"/>
        <v>22.241924186145393</v>
      </c>
      <c r="P26">
        <f t="shared" si="3"/>
        <v>0.13129965397923551</v>
      </c>
      <c r="Q26">
        <f t="shared" si="4"/>
        <v>1.708905190311411</v>
      </c>
    </row>
    <row r="27" spans="1:17" x14ac:dyDescent="0.25">
      <c r="A27" s="6" t="s">
        <v>675</v>
      </c>
      <c r="B27" s="6">
        <v>79.03</v>
      </c>
      <c r="C27" s="6">
        <v>10.79</v>
      </c>
      <c r="D27" s="6">
        <v>38964.67</v>
      </c>
      <c r="E27" s="6">
        <v>6.53</v>
      </c>
      <c r="F27" s="6">
        <v>71.489999999999995</v>
      </c>
      <c r="G27" s="6">
        <v>18.39</v>
      </c>
      <c r="H27" s="6">
        <v>2.4500000000000002</v>
      </c>
      <c r="I27" s="6">
        <v>92.34</v>
      </c>
      <c r="J27" s="6">
        <v>67.349999999999994</v>
      </c>
      <c r="K27" s="6">
        <v>8.1300000000000008</v>
      </c>
      <c r="M27">
        <f t="shared" si="0"/>
        <v>3.2838655462184505</v>
      </c>
      <c r="N27">
        <f t="shared" si="1"/>
        <v>1.9576470588235324</v>
      </c>
      <c r="O27">
        <f t="shared" si="2"/>
        <v>10.783772925640601</v>
      </c>
      <c r="P27">
        <f t="shared" si="3"/>
        <v>3.8323820069204269</v>
      </c>
      <c r="Q27">
        <f t="shared" si="4"/>
        <v>6.4286497281264827</v>
      </c>
    </row>
    <row r="28" spans="1:17" x14ac:dyDescent="0.25">
      <c r="A28" s="6" t="s">
        <v>679</v>
      </c>
      <c r="B28" s="6">
        <v>77.69</v>
      </c>
      <c r="C28" s="6">
        <v>10.44</v>
      </c>
      <c r="D28" s="6">
        <v>10303.16</v>
      </c>
      <c r="E28" s="6">
        <v>7.2</v>
      </c>
      <c r="F28" s="6">
        <v>45.88</v>
      </c>
      <c r="G28" s="6">
        <v>4.87</v>
      </c>
      <c r="H28" s="6">
        <v>5.97</v>
      </c>
      <c r="I28" s="6">
        <v>93.24</v>
      </c>
      <c r="J28" s="6">
        <v>62.58</v>
      </c>
      <c r="K28" s="6">
        <v>8.34</v>
      </c>
      <c r="M28">
        <f t="shared" si="0"/>
        <v>1.9438655462184471</v>
      </c>
      <c r="N28">
        <f t="shared" si="1"/>
        <v>1.6076470588235328</v>
      </c>
      <c r="O28">
        <f t="shared" si="2"/>
        <v>3.7786132617751416</v>
      </c>
      <c r="P28">
        <f t="shared" si="3"/>
        <v>2.5845290657439555</v>
      </c>
      <c r="Q28">
        <f t="shared" si="4"/>
        <v>3.1250497281264864</v>
      </c>
    </row>
    <row r="29" spans="1:17" x14ac:dyDescent="0.25">
      <c r="A29" s="6" t="s">
        <v>681</v>
      </c>
      <c r="B29" s="6">
        <v>83.75</v>
      </c>
      <c r="C29" s="6">
        <v>11.05</v>
      </c>
      <c r="D29" s="6">
        <v>233053.79</v>
      </c>
      <c r="E29" s="6">
        <v>3.87</v>
      </c>
      <c r="F29" s="6">
        <v>55.9</v>
      </c>
      <c r="G29" s="6">
        <v>18.29</v>
      </c>
      <c r="H29" s="6">
        <v>0.77</v>
      </c>
      <c r="I29" s="6">
        <v>95.38</v>
      </c>
      <c r="J29" s="6">
        <v>67.930000000000007</v>
      </c>
      <c r="K29" s="6">
        <v>7.4</v>
      </c>
      <c r="M29">
        <f t="shared" si="0"/>
        <v>8.0038655462184494</v>
      </c>
      <c r="N29">
        <f t="shared" si="1"/>
        <v>2.217647058823534</v>
      </c>
      <c r="O29">
        <f t="shared" si="2"/>
        <v>64.061863681942754</v>
      </c>
      <c r="P29">
        <f t="shared" si="3"/>
        <v>4.9179584775086704</v>
      </c>
      <c r="Q29">
        <f t="shared" si="4"/>
        <v>17.749748887790361</v>
      </c>
    </row>
    <row r="30" spans="1:17" x14ac:dyDescent="0.25">
      <c r="A30" s="6" t="s">
        <v>685</v>
      </c>
      <c r="B30" s="6">
        <v>78.09</v>
      </c>
      <c r="C30" s="6">
        <v>10.66</v>
      </c>
      <c r="D30" s="6">
        <v>19884.060000000001</v>
      </c>
      <c r="E30" s="6">
        <v>9.02</v>
      </c>
      <c r="F30" s="6">
        <v>95.38</v>
      </c>
      <c r="G30" s="6">
        <v>10.09</v>
      </c>
      <c r="H30" s="6">
        <v>1.27</v>
      </c>
      <c r="I30" s="6">
        <v>96.59</v>
      </c>
      <c r="J30" s="6">
        <v>68.55</v>
      </c>
      <c r="K30" s="6">
        <v>6.29</v>
      </c>
      <c r="M30">
        <f t="shared" si="0"/>
        <v>2.3438655462184528</v>
      </c>
      <c r="N30">
        <f t="shared" si="1"/>
        <v>1.8276470588235334</v>
      </c>
      <c r="O30">
        <f t="shared" si="2"/>
        <v>5.4937056987499258</v>
      </c>
      <c r="P30">
        <f t="shared" si="3"/>
        <v>3.3402937716263121</v>
      </c>
      <c r="Q30">
        <f t="shared" si="4"/>
        <v>4.2837589718239695</v>
      </c>
    </row>
    <row r="31" spans="1:17" x14ac:dyDescent="0.25">
      <c r="A31" s="6" t="s">
        <v>687</v>
      </c>
      <c r="B31" s="6">
        <v>83.55</v>
      </c>
      <c r="C31" s="6">
        <v>11.9</v>
      </c>
      <c r="D31" s="6">
        <v>81251.61</v>
      </c>
      <c r="E31" s="6">
        <v>4.01</v>
      </c>
      <c r="F31" s="6">
        <v>99.08</v>
      </c>
      <c r="G31" s="6">
        <v>33.049999999999997</v>
      </c>
      <c r="H31" s="6">
        <v>2.96</v>
      </c>
      <c r="I31" s="6">
        <v>94.28</v>
      </c>
      <c r="J31" s="6">
        <v>65.58</v>
      </c>
      <c r="K31" s="6">
        <v>7.82</v>
      </c>
      <c r="M31">
        <f t="shared" si="0"/>
        <v>7.8038655462184465</v>
      </c>
      <c r="N31">
        <f t="shared" si="1"/>
        <v>3.0676470588235336</v>
      </c>
      <c r="O31">
        <f t="shared" si="2"/>
        <v>60.90031746345533</v>
      </c>
      <c r="P31">
        <f t="shared" si="3"/>
        <v>9.4104584775086764</v>
      </c>
      <c r="Q31">
        <f t="shared" si="4"/>
        <v>23.939505190311326</v>
      </c>
    </row>
    <row r="32" spans="1:17" x14ac:dyDescent="0.25">
      <c r="A32" s="6" t="s">
        <v>691</v>
      </c>
      <c r="B32" s="6">
        <v>83.05</v>
      </c>
      <c r="C32" s="6">
        <v>11.58</v>
      </c>
      <c r="D32" s="6">
        <v>58241.86</v>
      </c>
      <c r="E32" s="6">
        <v>2.34</v>
      </c>
      <c r="F32" s="6">
        <v>98.76</v>
      </c>
      <c r="G32" s="6">
        <v>29.16</v>
      </c>
      <c r="H32" s="6">
        <v>5</v>
      </c>
      <c r="I32" s="6">
        <v>94.26</v>
      </c>
      <c r="J32" s="6">
        <v>62.89</v>
      </c>
      <c r="K32" s="6">
        <v>6.27</v>
      </c>
      <c r="M32">
        <f t="shared" si="0"/>
        <v>7.3038655462184465</v>
      </c>
      <c r="N32">
        <f t="shared" si="1"/>
        <v>2.7476470588235333</v>
      </c>
      <c r="O32">
        <f t="shared" si="2"/>
        <v>53.346451917236884</v>
      </c>
      <c r="P32">
        <f t="shared" si="3"/>
        <v>7.5495643598616136</v>
      </c>
      <c r="Q32">
        <f t="shared" si="4"/>
        <v>20.068444686109654</v>
      </c>
    </row>
    <row r="33" spans="1:17" x14ac:dyDescent="0.25">
      <c r="A33" s="6" t="s">
        <v>695</v>
      </c>
      <c r="B33" s="6">
        <v>80.3</v>
      </c>
      <c r="C33" s="6">
        <v>11.47</v>
      </c>
      <c r="D33" s="6">
        <v>27296.93</v>
      </c>
      <c r="E33" s="6">
        <v>4.3899999999999997</v>
      </c>
      <c r="F33" s="6">
        <v>76.44</v>
      </c>
      <c r="G33" s="6">
        <v>44.83</v>
      </c>
      <c r="H33" s="6">
        <v>2.81</v>
      </c>
      <c r="I33" s="6">
        <v>92.78</v>
      </c>
      <c r="J33" s="6">
        <v>66.52</v>
      </c>
      <c r="K33" s="6">
        <v>8.9700000000000006</v>
      </c>
      <c r="M33">
        <f t="shared" si="0"/>
        <v>4.5538655462184465</v>
      </c>
      <c r="N33">
        <f t="shared" si="1"/>
        <v>2.6376470588235339</v>
      </c>
      <c r="O33">
        <f t="shared" si="2"/>
        <v>20.737691413035432</v>
      </c>
      <c r="P33">
        <f t="shared" si="3"/>
        <v>6.9571820069204389</v>
      </c>
      <c r="Q33">
        <f t="shared" si="4"/>
        <v>12.011490064260911</v>
      </c>
    </row>
    <row r="34" spans="1:17" x14ac:dyDescent="0.25">
      <c r="A34" s="6" t="s">
        <v>699</v>
      </c>
      <c r="B34" s="6">
        <v>76.03</v>
      </c>
      <c r="C34" s="6">
        <v>9.86</v>
      </c>
      <c r="D34" s="6">
        <v>18709.87</v>
      </c>
      <c r="E34" s="6">
        <v>11.1</v>
      </c>
      <c r="F34" s="6">
        <v>53.16</v>
      </c>
      <c r="G34" s="6">
        <v>13.41</v>
      </c>
      <c r="H34" s="6">
        <v>5.46</v>
      </c>
      <c r="I34" s="6">
        <v>92.98</v>
      </c>
      <c r="J34" s="6">
        <v>68.92</v>
      </c>
      <c r="K34" s="6">
        <v>6.49</v>
      </c>
      <c r="M34">
        <f t="shared" si="0"/>
        <v>0.2838655462184505</v>
      </c>
      <c r="N34">
        <f t="shared" si="1"/>
        <v>1.0276470588235327</v>
      </c>
      <c r="O34">
        <f t="shared" si="2"/>
        <v>8.0579648329899264E-2</v>
      </c>
      <c r="P34">
        <f t="shared" si="3"/>
        <v>1.0560584775086572</v>
      </c>
      <c r="Q34">
        <f t="shared" si="4"/>
        <v>0.29171359367272626</v>
      </c>
    </row>
    <row r="35" spans="1:17" x14ac:dyDescent="0.25">
      <c r="A35" s="6" t="s">
        <v>702</v>
      </c>
      <c r="B35" s="6">
        <v>75.010000000000005</v>
      </c>
      <c r="C35" s="6">
        <v>9.15</v>
      </c>
      <c r="D35" s="6">
        <v>3883.98</v>
      </c>
      <c r="E35" s="6">
        <v>5.85</v>
      </c>
      <c r="F35" s="6">
        <v>91.07</v>
      </c>
      <c r="G35" s="6">
        <v>10.29</v>
      </c>
      <c r="H35" s="6">
        <v>3.91</v>
      </c>
      <c r="I35" s="6">
        <v>88.93</v>
      </c>
      <c r="J35" s="6">
        <v>67.22</v>
      </c>
      <c r="K35" s="6">
        <v>5.44</v>
      </c>
      <c r="M35">
        <f t="shared" si="0"/>
        <v>-0.73613445378154552</v>
      </c>
      <c r="N35">
        <f t="shared" si="1"/>
        <v>0.31764705882353361</v>
      </c>
      <c r="O35">
        <f t="shared" si="2"/>
        <v>0.54189393404425434</v>
      </c>
      <c r="P35">
        <f t="shared" si="3"/>
        <v>0.10089965397924142</v>
      </c>
      <c r="Q35">
        <f t="shared" si="4"/>
        <v>-0.23383094414237637</v>
      </c>
    </row>
    <row r="36" spans="1:17" x14ac:dyDescent="0.25">
      <c r="A36" s="6" t="s">
        <v>707</v>
      </c>
      <c r="B36" s="6">
        <v>72.55</v>
      </c>
      <c r="C36" s="6">
        <v>7.4</v>
      </c>
      <c r="D36" s="6">
        <v>104540.67</v>
      </c>
      <c r="E36" s="6">
        <v>10.68</v>
      </c>
      <c r="F36" s="6">
        <v>83.25</v>
      </c>
      <c r="G36" s="6">
        <v>55.46</v>
      </c>
      <c r="H36" s="6">
        <v>1.06</v>
      </c>
      <c r="I36" s="6">
        <v>87.82</v>
      </c>
      <c r="J36" s="6">
        <v>67.95</v>
      </c>
      <c r="K36" s="6">
        <v>7.83</v>
      </c>
      <c r="M36">
        <f t="shared" si="0"/>
        <v>-3.1961344537815535</v>
      </c>
      <c r="N36">
        <f t="shared" si="1"/>
        <v>-1.4323529411764664</v>
      </c>
      <c r="O36">
        <f t="shared" si="2"/>
        <v>10.215275446649509</v>
      </c>
      <c r="P36">
        <f t="shared" si="3"/>
        <v>2.0516349480968739</v>
      </c>
      <c r="Q36">
        <f t="shared" si="4"/>
        <v>4.5779925852694472</v>
      </c>
    </row>
    <row r="37" spans="1:17" x14ac:dyDescent="0.25">
      <c r="A37" s="6" t="s">
        <v>711</v>
      </c>
      <c r="B37" s="6">
        <v>74.52</v>
      </c>
      <c r="C37" s="6">
        <v>7.91</v>
      </c>
      <c r="D37" s="6">
        <v>47795.71</v>
      </c>
      <c r="E37" s="6">
        <v>11.95</v>
      </c>
      <c r="F37" s="6">
        <v>83.25</v>
      </c>
      <c r="G37" s="6">
        <v>26.4</v>
      </c>
      <c r="H37" s="6">
        <v>5.05</v>
      </c>
      <c r="I37" s="6">
        <v>89.64</v>
      </c>
      <c r="J37" s="6">
        <v>68.03</v>
      </c>
      <c r="K37" s="6">
        <v>6.18</v>
      </c>
      <c r="M37">
        <f t="shared" si="0"/>
        <v>-1.2261344537815546</v>
      </c>
      <c r="N37">
        <f t="shared" si="1"/>
        <v>-0.9223529411764666</v>
      </c>
      <c r="O37">
        <f t="shared" si="2"/>
        <v>1.5034056987501914</v>
      </c>
      <c r="P37">
        <f t="shared" si="3"/>
        <v>0.85073494809687844</v>
      </c>
      <c r="Q37">
        <f t="shared" si="4"/>
        <v>1.1309287197232172</v>
      </c>
    </row>
    <row r="38" spans="1:17" x14ac:dyDescent="0.25">
      <c r="A38" s="6" t="s">
        <v>715</v>
      </c>
      <c r="B38" s="6">
        <v>70.97</v>
      </c>
      <c r="C38" s="6">
        <v>7.36</v>
      </c>
      <c r="D38" s="6">
        <v>20422.61</v>
      </c>
      <c r="E38" s="6">
        <v>14.18</v>
      </c>
      <c r="F38" s="6">
        <v>82.01</v>
      </c>
      <c r="G38" s="6">
        <v>28.27</v>
      </c>
      <c r="H38" s="6">
        <v>4.25</v>
      </c>
      <c r="I38" s="6">
        <v>93.92</v>
      </c>
      <c r="J38" s="6">
        <v>74.47</v>
      </c>
      <c r="K38" s="6">
        <v>4.96</v>
      </c>
      <c r="M38">
        <f t="shared" si="0"/>
        <v>-4.7761344537815518</v>
      </c>
      <c r="N38">
        <f t="shared" si="1"/>
        <v>-1.4723529411764664</v>
      </c>
      <c r="O38">
        <f t="shared" si="2"/>
        <v>22.811460320599203</v>
      </c>
      <c r="P38">
        <f t="shared" si="3"/>
        <v>2.1678231833909911</v>
      </c>
      <c r="Q38">
        <f t="shared" si="4"/>
        <v>7.0321556104795233</v>
      </c>
    </row>
    <row r="39" spans="1:17" x14ac:dyDescent="0.25">
      <c r="A39" s="6" t="s">
        <v>719</v>
      </c>
      <c r="B39" s="6">
        <v>69.62</v>
      </c>
      <c r="C39" s="6">
        <v>6.87</v>
      </c>
      <c r="D39" s="6">
        <v>18051.84</v>
      </c>
      <c r="E39" s="6">
        <v>14.71</v>
      </c>
      <c r="F39" s="6">
        <v>52.4</v>
      </c>
      <c r="G39" s="6">
        <v>16.57</v>
      </c>
      <c r="H39" s="6">
        <v>4.37</v>
      </c>
      <c r="I39" s="6">
        <v>95.11</v>
      </c>
      <c r="J39" s="6">
        <v>73.38</v>
      </c>
      <c r="K39" s="6">
        <v>5.57</v>
      </c>
      <c r="M39">
        <f t="shared" si="0"/>
        <v>-6.1261344537815461</v>
      </c>
      <c r="N39">
        <f t="shared" si="1"/>
        <v>-1.9623529411764666</v>
      </c>
      <c r="O39">
        <f t="shared" si="2"/>
        <v>37.529523345809324</v>
      </c>
      <c r="P39">
        <f t="shared" si="3"/>
        <v>3.850829065743929</v>
      </c>
      <c r="Q39">
        <f t="shared" si="4"/>
        <v>12.021637963420703</v>
      </c>
    </row>
    <row r="40" spans="1:17" x14ac:dyDescent="0.25">
      <c r="A40" s="6" t="s">
        <v>722</v>
      </c>
      <c r="B40" s="6">
        <v>72.48</v>
      </c>
      <c r="C40" s="6">
        <v>7.87</v>
      </c>
      <c r="D40" s="6">
        <v>23837.83</v>
      </c>
      <c r="E40" s="6">
        <v>15.71</v>
      </c>
      <c r="F40" s="6">
        <v>93.43</v>
      </c>
      <c r="G40" s="6">
        <v>22.69</v>
      </c>
      <c r="H40" s="6">
        <v>6</v>
      </c>
      <c r="I40" s="6">
        <v>93.39</v>
      </c>
      <c r="J40" s="6">
        <v>77.37</v>
      </c>
      <c r="K40" s="6">
        <v>5.07</v>
      </c>
      <c r="M40">
        <f t="shared" si="0"/>
        <v>-3.2661344537815467</v>
      </c>
      <c r="N40">
        <f t="shared" si="1"/>
        <v>-0.96235294117646664</v>
      </c>
      <c r="O40">
        <f t="shared" si="2"/>
        <v>10.667634270178882</v>
      </c>
      <c r="P40">
        <f t="shared" si="3"/>
        <v>0.92612318339099586</v>
      </c>
      <c r="Q40">
        <f t="shared" si="4"/>
        <v>3.1431740978744638</v>
      </c>
    </row>
    <row r="41" spans="1:17" x14ac:dyDescent="0.25">
      <c r="A41" s="6" t="s">
        <v>726</v>
      </c>
      <c r="B41" s="6">
        <v>75.16</v>
      </c>
      <c r="C41" s="6">
        <v>8.65</v>
      </c>
      <c r="D41" s="6">
        <v>15745.98</v>
      </c>
      <c r="E41" s="6">
        <v>10.87</v>
      </c>
      <c r="F41" s="6">
        <v>84.64</v>
      </c>
      <c r="G41" s="6">
        <v>20.059999999999999</v>
      </c>
      <c r="H41" s="6">
        <v>4.8600000000000003</v>
      </c>
      <c r="I41" s="6">
        <v>95.24</v>
      </c>
      <c r="J41" s="6">
        <v>73.72</v>
      </c>
      <c r="K41" s="6">
        <v>3.89</v>
      </c>
      <c r="M41">
        <f t="shared" si="0"/>
        <v>-0.58613445378155404</v>
      </c>
      <c r="N41">
        <f t="shared" si="1"/>
        <v>-0.18235294117646639</v>
      </c>
      <c r="O41">
        <f t="shared" si="2"/>
        <v>0.34355359790980072</v>
      </c>
      <c r="P41">
        <f t="shared" si="3"/>
        <v>3.3252595155707811E-2</v>
      </c>
      <c r="Q41">
        <f t="shared" si="4"/>
        <v>0.10688334157192798</v>
      </c>
    </row>
    <row r="42" spans="1:17" x14ac:dyDescent="0.25">
      <c r="A42" s="6" t="s">
        <v>729</v>
      </c>
      <c r="B42" s="6">
        <v>70.63</v>
      </c>
      <c r="C42" s="6">
        <v>6.9</v>
      </c>
      <c r="D42" s="6">
        <v>16109.38</v>
      </c>
      <c r="E42" s="6">
        <v>15.28</v>
      </c>
      <c r="F42" s="6">
        <v>63.81</v>
      </c>
      <c r="G42" s="6">
        <v>17.72</v>
      </c>
      <c r="H42" s="6">
        <v>1.42</v>
      </c>
      <c r="I42" s="6">
        <v>92.94</v>
      </c>
      <c r="J42" s="6">
        <v>74.97</v>
      </c>
      <c r="K42" s="6">
        <v>4.0199999999999996</v>
      </c>
      <c r="M42">
        <f t="shared" si="0"/>
        <v>-5.1161344537815552</v>
      </c>
      <c r="N42">
        <f t="shared" si="1"/>
        <v>-1.9323529411764664</v>
      </c>
      <c r="O42">
        <f t="shared" si="2"/>
        <v>26.174831749170693</v>
      </c>
      <c r="P42">
        <f t="shared" si="3"/>
        <v>3.7339878892733402</v>
      </c>
      <c r="Q42">
        <f t="shared" si="4"/>
        <v>9.8861774592190432</v>
      </c>
    </row>
    <row r="43" spans="1:17" x14ac:dyDescent="0.25">
      <c r="A43" s="6" t="s">
        <v>733</v>
      </c>
      <c r="B43" s="6">
        <v>72.099999999999994</v>
      </c>
      <c r="C43" s="6">
        <v>7.83</v>
      </c>
      <c r="D43" s="6">
        <v>27538.21</v>
      </c>
      <c r="E43" s="6">
        <v>10.83</v>
      </c>
      <c r="F43" s="6">
        <v>83.77</v>
      </c>
      <c r="G43" s="6">
        <v>24.46</v>
      </c>
      <c r="H43" s="6">
        <v>6.54</v>
      </c>
      <c r="I43" s="6">
        <v>92.93</v>
      </c>
      <c r="J43" s="6">
        <v>77.72</v>
      </c>
      <c r="K43" s="6">
        <v>3.55</v>
      </c>
      <c r="M43">
        <f t="shared" si="0"/>
        <v>-3.6461344537815563</v>
      </c>
      <c r="N43">
        <f t="shared" si="1"/>
        <v>-1.0023529411764667</v>
      </c>
      <c r="O43">
        <f t="shared" si="2"/>
        <v>13.294296455052928</v>
      </c>
      <c r="P43">
        <f t="shared" si="3"/>
        <v>1.0047114186851132</v>
      </c>
      <c r="Q43">
        <f t="shared" si="4"/>
        <v>3.6547135936727928</v>
      </c>
    </row>
    <row r="44" spans="1:17" x14ac:dyDescent="0.25">
      <c r="A44" s="6" t="s">
        <v>737</v>
      </c>
      <c r="B44" s="6">
        <v>75.959999999999994</v>
      </c>
      <c r="C44" s="6">
        <v>8.17</v>
      </c>
      <c r="D44" s="6">
        <v>27556.18</v>
      </c>
      <c r="E44" s="6">
        <v>9.6300000000000008</v>
      </c>
      <c r="F44" s="6">
        <v>88.26</v>
      </c>
      <c r="G44" s="6">
        <v>31.48</v>
      </c>
      <c r="H44" s="6">
        <v>6.5</v>
      </c>
      <c r="I44" s="6">
        <v>94.76</v>
      </c>
      <c r="J44" s="6">
        <v>75.25</v>
      </c>
      <c r="K44" s="6">
        <v>3.16</v>
      </c>
      <c r="M44">
        <f t="shared" si="0"/>
        <v>0.21386554621844311</v>
      </c>
      <c r="N44">
        <f t="shared" si="1"/>
        <v>-0.66235294117646681</v>
      </c>
      <c r="O44">
        <f t="shared" si="2"/>
        <v>4.5738471859313026E-2</v>
      </c>
      <c r="P44">
        <f t="shared" si="3"/>
        <v>0.43871141868511609</v>
      </c>
      <c r="Q44">
        <f t="shared" si="4"/>
        <v>-0.14165447355409741</v>
      </c>
    </row>
    <row r="45" spans="1:17" x14ac:dyDescent="0.25">
      <c r="A45" s="6" t="s">
        <v>740</v>
      </c>
      <c r="B45" s="6">
        <v>78.16</v>
      </c>
      <c r="C45" s="6">
        <v>9.2899999999999991</v>
      </c>
      <c r="D45" s="6">
        <v>33568.92</v>
      </c>
      <c r="E45" s="6">
        <v>12.04</v>
      </c>
      <c r="F45" s="6">
        <v>97.86</v>
      </c>
      <c r="G45" s="6">
        <v>38.549999999999997</v>
      </c>
      <c r="H45" s="6">
        <v>5.37</v>
      </c>
      <c r="I45" s="6">
        <v>95.99</v>
      </c>
      <c r="J45" s="6">
        <v>74.239999999999995</v>
      </c>
      <c r="K45" s="6">
        <v>3.97</v>
      </c>
      <c r="M45">
        <f t="shared" si="0"/>
        <v>2.413865546218446</v>
      </c>
      <c r="N45">
        <f t="shared" si="1"/>
        <v>0.4576470588235324</v>
      </c>
      <c r="O45">
        <f t="shared" si="2"/>
        <v>5.8267468752204765</v>
      </c>
      <c r="P45">
        <f t="shared" si="3"/>
        <v>0.20944083044982972</v>
      </c>
      <c r="Q45">
        <f t="shared" si="4"/>
        <v>1.1046984676223313</v>
      </c>
    </row>
    <row r="46" spans="1:17" x14ac:dyDescent="0.25">
      <c r="A46" s="6" t="s">
        <v>744</v>
      </c>
      <c r="B46" s="6">
        <v>79.3</v>
      </c>
      <c r="C46" s="6">
        <v>10.01</v>
      </c>
      <c r="D46" s="6">
        <v>32187.41</v>
      </c>
      <c r="E46" s="6">
        <v>7.47</v>
      </c>
      <c r="F46" s="6">
        <v>97.08</v>
      </c>
      <c r="G46" s="6">
        <v>38.15</v>
      </c>
      <c r="H46" s="6">
        <v>3.63</v>
      </c>
      <c r="I46" s="6">
        <v>97.87</v>
      </c>
      <c r="J46" s="6">
        <v>68.209999999999994</v>
      </c>
      <c r="K46" s="6">
        <v>3.65</v>
      </c>
      <c r="M46">
        <f t="shared" si="0"/>
        <v>3.5538655462184465</v>
      </c>
      <c r="N46">
        <f t="shared" si="1"/>
        <v>1.177647058823533</v>
      </c>
      <c r="O46">
        <f t="shared" si="2"/>
        <v>12.629960320598537</v>
      </c>
      <c r="P46">
        <f t="shared" si="3"/>
        <v>1.3868525951557178</v>
      </c>
      <c r="Q46">
        <f t="shared" si="4"/>
        <v>4.1851993079584426</v>
      </c>
    </row>
    <row r="47" spans="1:17" x14ac:dyDescent="0.25">
      <c r="A47" s="6" t="s">
        <v>748</v>
      </c>
      <c r="B47" s="6">
        <v>72.540000000000006</v>
      </c>
      <c r="C47" s="6">
        <v>7.68</v>
      </c>
      <c r="D47" s="6">
        <v>24728.69</v>
      </c>
      <c r="E47" s="6">
        <v>10.71</v>
      </c>
      <c r="F47" s="6">
        <v>96.25</v>
      </c>
      <c r="G47" s="6">
        <v>19.25</v>
      </c>
      <c r="H47" s="6">
        <v>6.49</v>
      </c>
      <c r="I47" s="6">
        <v>92.27</v>
      </c>
      <c r="J47" s="6">
        <v>77.75</v>
      </c>
      <c r="K47" s="6">
        <v>2.4</v>
      </c>
      <c r="M47">
        <f t="shared" si="0"/>
        <v>-3.2061344537815444</v>
      </c>
      <c r="N47">
        <f t="shared" si="1"/>
        <v>-1.152352941176467</v>
      </c>
      <c r="O47">
        <f t="shared" si="2"/>
        <v>10.279298135725082</v>
      </c>
      <c r="P47">
        <f t="shared" si="3"/>
        <v>1.3279173010380541</v>
      </c>
      <c r="Q47">
        <f t="shared" si="4"/>
        <v>3.6945984676223684</v>
      </c>
    </row>
    <row r="48" spans="1:17" x14ac:dyDescent="0.25">
      <c r="A48" s="6" t="s">
        <v>752</v>
      </c>
      <c r="B48" s="6">
        <v>78.11</v>
      </c>
      <c r="C48" s="6">
        <v>9.26</v>
      </c>
      <c r="D48" s="6">
        <v>31883.1</v>
      </c>
      <c r="E48" s="6">
        <v>9.59</v>
      </c>
      <c r="F48" s="6">
        <v>98.54</v>
      </c>
      <c r="G48" s="6">
        <v>46.97</v>
      </c>
      <c r="H48" s="6">
        <v>5.4</v>
      </c>
      <c r="I48" s="6">
        <v>97.13</v>
      </c>
      <c r="J48" s="6">
        <v>74.569999999999993</v>
      </c>
      <c r="K48" s="6">
        <v>3.47</v>
      </c>
      <c r="M48">
        <f t="shared" si="0"/>
        <v>2.3638655462184488</v>
      </c>
      <c r="N48">
        <f t="shared" si="1"/>
        <v>0.42764705882353304</v>
      </c>
      <c r="O48">
        <f t="shared" si="2"/>
        <v>5.5878603205986455</v>
      </c>
      <c r="P48">
        <f t="shared" si="3"/>
        <v>0.18288200692041834</v>
      </c>
      <c r="Q48">
        <f t="shared" si="4"/>
        <v>1.0109001482946041</v>
      </c>
    </row>
    <row r="49" spans="1:17" x14ac:dyDescent="0.25">
      <c r="A49" s="6" t="s">
        <v>756</v>
      </c>
      <c r="B49" s="6">
        <v>75.53</v>
      </c>
      <c r="C49" s="6">
        <v>7.88</v>
      </c>
      <c r="D49" s="6">
        <v>32084.080000000002</v>
      </c>
      <c r="E49" s="6">
        <v>12.41</v>
      </c>
      <c r="F49" s="6">
        <v>95.71</v>
      </c>
      <c r="G49" s="6">
        <v>39.76</v>
      </c>
      <c r="H49" s="6">
        <v>4.9000000000000004</v>
      </c>
      <c r="I49" s="6">
        <v>92.57</v>
      </c>
      <c r="J49" s="6">
        <v>74.540000000000006</v>
      </c>
      <c r="K49" s="6">
        <v>3.53</v>
      </c>
      <c r="M49">
        <f t="shared" si="0"/>
        <v>-0.2161344537815495</v>
      </c>
      <c r="N49">
        <f t="shared" si="1"/>
        <v>-0.95235294117646685</v>
      </c>
      <c r="O49">
        <f t="shared" si="2"/>
        <v>4.6714102111448753E-2</v>
      </c>
      <c r="P49">
        <f t="shared" si="3"/>
        <v>0.9069761245674669</v>
      </c>
      <c r="Q49">
        <f t="shared" si="4"/>
        <v>0.2058362827484278</v>
      </c>
    </row>
    <row r="50" spans="1:17" x14ac:dyDescent="0.25">
      <c r="A50" s="6" t="s">
        <v>760</v>
      </c>
      <c r="B50" s="6">
        <v>72.02</v>
      </c>
      <c r="C50" s="6">
        <v>7.29</v>
      </c>
      <c r="D50" s="6">
        <v>23591.06</v>
      </c>
      <c r="E50" s="6">
        <v>11.43</v>
      </c>
      <c r="F50" s="6">
        <v>93.94</v>
      </c>
      <c r="G50" s="6">
        <v>14.79</v>
      </c>
      <c r="H50" s="6">
        <v>5.55</v>
      </c>
      <c r="I50" s="6">
        <v>86.4</v>
      </c>
      <c r="J50" s="6">
        <v>76.56</v>
      </c>
      <c r="K50" s="6">
        <v>3.23</v>
      </c>
      <c r="M50">
        <f t="shared" si="0"/>
        <v>-3.7261344537815546</v>
      </c>
      <c r="N50">
        <f t="shared" si="1"/>
        <v>-1.5423529411764667</v>
      </c>
      <c r="O50">
        <f t="shared" si="2"/>
        <v>13.884077967657964</v>
      </c>
      <c r="P50">
        <f t="shared" si="3"/>
        <v>2.3788525951556974</v>
      </c>
      <c r="Q50">
        <f t="shared" si="4"/>
        <v>5.747014434008948</v>
      </c>
    </row>
    <row r="51" spans="1:17" x14ac:dyDescent="0.25">
      <c r="A51" s="6" t="s">
        <v>764</v>
      </c>
      <c r="B51" s="6">
        <v>71.42</v>
      </c>
      <c r="C51" s="6">
        <v>7.26</v>
      </c>
      <c r="D51" s="6">
        <v>19776.060000000001</v>
      </c>
      <c r="E51" s="6">
        <v>11.42</v>
      </c>
      <c r="F51" s="6">
        <v>90.81</v>
      </c>
      <c r="G51" s="6">
        <v>10.91</v>
      </c>
      <c r="H51" s="6">
        <v>5.16</v>
      </c>
      <c r="I51" s="6">
        <v>85.85</v>
      </c>
      <c r="J51" s="6">
        <v>73.510000000000005</v>
      </c>
      <c r="K51" s="6">
        <v>3.67</v>
      </c>
      <c r="M51">
        <f t="shared" si="0"/>
        <v>-4.3261344537815489</v>
      </c>
      <c r="N51">
        <f t="shared" si="1"/>
        <v>-1.572352941176467</v>
      </c>
      <c r="O51">
        <f t="shared" si="2"/>
        <v>18.71543931219578</v>
      </c>
      <c r="P51">
        <f t="shared" si="3"/>
        <v>2.4722937716262861</v>
      </c>
      <c r="Q51">
        <f t="shared" si="4"/>
        <v>6.8022102323282665</v>
      </c>
    </row>
    <row r="52" spans="1:17" x14ac:dyDescent="0.25">
      <c r="A52" s="6" t="s">
        <v>768</v>
      </c>
      <c r="B52" s="6">
        <v>72.53</v>
      </c>
      <c r="C52" s="6">
        <v>7.73</v>
      </c>
      <c r="D52" s="6">
        <v>16248.58</v>
      </c>
      <c r="E52" s="6">
        <v>14.02</v>
      </c>
      <c r="F52" s="6">
        <v>94.89</v>
      </c>
      <c r="G52" s="6">
        <v>24.39</v>
      </c>
      <c r="H52" s="6">
        <v>5.61</v>
      </c>
      <c r="I52" s="6">
        <v>88.45</v>
      </c>
      <c r="J52" s="6">
        <v>74.5</v>
      </c>
      <c r="K52" s="6">
        <v>2.84</v>
      </c>
      <c r="M52">
        <f t="shared" si="0"/>
        <v>-3.2161344537815495</v>
      </c>
      <c r="N52">
        <f t="shared" si="1"/>
        <v>-1.1023529411764663</v>
      </c>
      <c r="O52">
        <f t="shared" si="2"/>
        <v>10.343520824800745</v>
      </c>
      <c r="P52">
        <f t="shared" si="3"/>
        <v>1.2151820069204058</v>
      </c>
      <c r="Q52">
        <f t="shared" si="4"/>
        <v>3.5453152743450591</v>
      </c>
    </row>
    <row r="53" spans="1:17" x14ac:dyDescent="0.25">
      <c r="A53" s="6" t="s">
        <v>772</v>
      </c>
      <c r="B53" s="6">
        <v>74.099999999999994</v>
      </c>
      <c r="C53" s="6">
        <v>7.82</v>
      </c>
      <c r="D53" s="6">
        <v>36780.74</v>
      </c>
      <c r="E53" s="6">
        <v>9.17</v>
      </c>
      <c r="F53" s="6">
        <v>96.33</v>
      </c>
      <c r="G53" s="6">
        <v>28.78</v>
      </c>
      <c r="H53" s="6">
        <v>6.26</v>
      </c>
      <c r="I53" s="6">
        <v>92.46</v>
      </c>
      <c r="J53" s="6">
        <v>76.75</v>
      </c>
      <c r="K53" s="6">
        <v>3.87</v>
      </c>
      <c r="M53">
        <f t="shared" si="0"/>
        <v>-1.6461344537815563</v>
      </c>
      <c r="N53">
        <f t="shared" si="1"/>
        <v>-1.0123529411764665</v>
      </c>
      <c r="O53">
        <f t="shared" si="2"/>
        <v>2.7097586399267026</v>
      </c>
      <c r="P53">
        <f t="shared" si="3"/>
        <v>1.0248584775086422</v>
      </c>
      <c r="Q53">
        <f t="shared" si="4"/>
        <v>1.6664690558576747</v>
      </c>
    </row>
    <row r="54" spans="1:17" x14ac:dyDescent="0.25">
      <c r="A54" s="6" t="s">
        <v>776</v>
      </c>
      <c r="B54" s="6">
        <v>77.209999999999994</v>
      </c>
      <c r="C54" s="6">
        <v>9.35</v>
      </c>
      <c r="D54" s="6">
        <v>75010.789999999994</v>
      </c>
      <c r="E54" s="6">
        <v>7.23</v>
      </c>
      <c r="F54" s="6">
        <v>95.9</v>
      </c>
      <c r="G54" s="6">
        <v>77.709999999999994</v>
      </c>
      <c r="H54" s="6">
        <v>1.76</v>
      </c>
      <c r="I54" s="6">
        <v>93.92</v>
      </c>
      <c r="J54" s="6">
        <v>75.53</v>
      </c>
      <c r="K54" s="6">
        <v>3.19</v>
      </c>
      <c r="M54">
        <f t="shared" si="0"/>
        <v>1.4638655462184431</v>
      </c>
      <c r="N54">
        <f t="shared" si="1"/>
        <v>0.5176470588235329</v>
      </c>
      <c r="O54">
        <f t="shared" si="2"/>
        <v>2.1429023374054208</v>
      </c>
      <c r="P54">
        <f t="shared" si="3"/>
        <v>0.26795847750865415</v>
      </c>
      <c r="Q54">
        <f t="shared" si="4"/>
        <v>0.75776569451308151</v>
      </c>
    </row>
    <row r="55" spans="1:17" x14ac:dyDescent="0.25">
      <c r="A55" s="6" t="s">
        <v>780</v>
      </c>
      <c r="B55" s="6">
        <v>74.319999999999993</v>
      </c>
      <c r="C55" s="6">
        <v>8.27</v>
      </c>
      <c r="D55" s="6">
        <v>25482.07</v>
      </c>
      <c r="E55" s="6">
        <v>6.09</v>
      </c>
      <c r="F55" s="6">
        <v>68.05</v>
      </c>
      <c r="G55" s="6">
        <v>34.01</v>
      </c>
      <c r="H55" s="6">
        <v>2.97</v>
      </c>
      <c r="I55" s="6">
        <v>91.63</v>
      </c>
      <c r="J55" s="6">
        <v>71.94</v>
      </c>
      <c r="K55" s="6">
        <v>3.34</v>
      </c>
      <c r="M55">
        <f t="shared" si="0"/>
        <v>-1.4261344537815575</v>
      </c>
      <c r="N55">
        <f t="shared" si="1"/>
        <v>-0.56235294117646717</v>
      </c>
      <c r="O55">
        <f t="shared" si="2"/>
        <v>2.0338594802628212</v>
      </c>
      <c r="P55">
        <f t="shared" si="3"/>
        <v>0.31624083044982315</v>
      </c>
      <c r="Q55">
        <f t="shared" si="4"/>
        <v>0.80199090459715328</v>
      </c>
    </row>
    <row r="56" spans="1:17" x14ac:dyDescent="0.25">
      <c r="A56" s="6" t="s">
        <v>784</v>
      </c>
      <c r="B56" s="6">
        <v>74.569999999999993</v>
      </c>
      <c r="C56" s="6">
        <v>8.2799999999999994</v>
      </c>
      <c r="D56" s="6">
        <v>21894.6</v>
      </c>
      <c r="E56" s="6">
        <v>11.89</v>
      </c>
      <c r="F56" s="6">
        <v>95.13</v>
      </c>
      <c r="G56" s="6">
        <v>31.66</v>
      </c>
      <c r="H56" s="6">
        <v>4.7699999999999996</v>
      </c>
      <c r="I56" s="6">
        <v>91.19</v>
      </c>
      <c r="J56" s="6">
        <v>72.36</v>
      </c>
      <c r="K56" s="6">
        <v>4.75</v>
      </c>
      <c r="M56">
        <f t="shared" si="0"/>
        <v>-1.1761344537815575</v>
      </c>
      <c r="N56">
        <f t="shared" si="1"/>
        <v>-0.55235294117646738</v>
      </c>
      <c r="O56">
        <f t="shared" si="2"/>
        <v>1.3832922533720424</v>
      </c>
      <c r="P56">
        <f t="shared" si="3"/>
        <v>0.30509377162629403</v>
      </c>
      <c r="Q56">
        <f t="shared" si="4"/>
        <v>0.64964132476522118</v>
      </c>
    </row>
    <row r="57" spans="1:17" x14ac:dyDescent="0.25">
      <c r="A57" s="6" t="s">
        <v>787</v>
      </c>
      <c r="B57" s="6">
        <v>75.67</v>
      </c>
      <c r="C57" s="6">
        <v>8.16</v>
      </c>
      <c r="D57" s="6">
        <v>41529.4</v>
      </c>
      <c r="E57" s="6">
        <v>6.96</v>
      </c>
      <c r="F57" s="6">
        <v>86.32</v>
      </c>
      <c r="G57" s="6">
        <v>38.71</v>
      </c>
      <c r="H57" s="6">
        <v>3.86</v>
      </c>
      <c r="I57" s="6">
        <v>96.63</v>
      </c>
      <c r="J57" s="6">
        <v>79.290000000000006</v>
      </c>
      <c r="K57" s="6">
        <v>3.73</v>
      </c>
      <c r="M57">
        <f t="shared" si="0"/>
        <v>-7.6134453781548928E-2</v>
      </c>
      <c r="N57">
        <f t="shared" si="1"/>
        <v>-0.6723529411764666</v>
      </c>
      <c r="O57">
        <f t="shared" si="2"/>
        <v>5.7964550526148099E-3</v>
      </c>
      <c r="P57">
        <f t="shared" si="3"/>
        <v>0.45205847750864514</v>
      </c>
      <c r="Q57">
        <f t="shared" si="4"/>
        <v>5.1189223924888179E-2</v>
      </c>
    </row>
    <row r="58" spans="1:17" x14ac:dyDescent="0.25">
      <c r="A58" s="6" t="s">
        <v>791</v>
      </c>
      <c r="B58" s="6">
        <v>71.86</v>
      </c>
      <c r="C58" s="6">
        <v>7.53</v>
      </c>
      <c r="D58" s="6">
        <v>17855.599999999999</v>
      </c>
      <c r="E58" s="6">
        <v>8.67</v>
      </c>
      <c r="F58" s="6">
        <v>71.77</v>
      </c>
      <c r="G58" s="6">
        <v>25.53</v>
      </c>
      <c r="H58" s="6">
        <v>3.05</v>
      </c>
      <c r="I58" s="6">
        <v>96.13</v>
      </c>
      <c r="J58" s="6">
        <v>78.06</v>
      </c>
      <c r="K58" s="6">
        <v>2.35</v>
      </c>
      <c r="M58">
        <f t="shared" si="0"/>
        <v>-3.8861344537815512</v>
      </c>
      <c r="N58">
        <f t="shared" si="1"/>
        <v>-1.3023529411764665</v>
      </c>
      <c r="O58">
        <f t="shared" si="2"/>
        <v>15.102040992868035</v>
      </c>
      <c r="P58">
        <f t="shared" si="3"/>
        <v>1.6961231833909929</v>
      </c>
      <c r="Q58">
        <f t="shared" si="4"/>
        <v>5.0611186356896045</v>
      </c>
    </row>
    <row r="59" spans="1:17" x14ac:dyDescent="0.25">
      <c r="A59" s="6" t="s">
        <v>795</v>
      </c>
      <c r="B59" s="6">
        <v>74.34</v>
      </c>
      <c r="C59" s="6">
        <v>7.74</v>
      </c>
      <c r="D59" s="6">
        <v>37201.449999999997</v>
      </c>
      <c r="E59" s="6">
        <v>9.35</v>
      </c>
      <c r="F59" s="6">
        <v>83.05</v>
      </c>
      <c r="G59" s="6">
        <v>41.7</v>
      </c>
      <c r="H59" s="6">
        <v>4.3600000000000003</v>
      </c>
      <c r="I59" s="6">
        <v>94.29</v>
      </c>
      <c r="J59" s="6">
        <v>76.849999999999994</v>
      </c>
      <c r="K59" s="6">
        <v>5.01</v>
      </c>
      <c r="M59">
        <f t="shared" si="0"/>
        <v>-1.4061344537815472</v>
      </c>
      <c r="N59">
        <f t="shared" si="1"/>
        <v>-1.0923529411764665</v>
      </c>
      <c r="O59">
        <f t="shared" si="2"/>
        <v>1.9772141021115301</v>
      </c>
      <c r="P59">
        <f t="shared" si="3"/>
        <v>1.1932349480968769</v>
      </c>
      <c r="Q59">
        <f t="shared" si="4"/>
        <v>1.5359951062778374</v>
      </c>
    </row>
    <row r="60" spans="1:17" x14ac:dyDescent="0.25">
      <c r="A60" s="6" t="s">
        <v>799</v>
      </c>
      <c r="B60" s="6">
        <v>70.73</v>
      </c>
      <c r="C60" s="6">
        <v>7.08</v>
      </c>
      <c r="D60" s="6">
        <v>18693.22</v>
      </c>
      <c r="E60" s="6">
        <v>8.73</v>
      </c>
      <c r="F60" s="6">
        <v>65.92</v>
      </c>
      <c r="G60" s="6">
        <v>34.89</v>
      </c>
      <c r="H60" s="6">
        <v>5.29</v>
      </c>
      <c r="I60" s="6">
        <v>92.59</v>
      </c>
      <c r="J60" s="6">
        <v>77.91</v>
      </c>
      <c r="K60" s="6">
        <v>5.67</v>
      </c>
      <c r="M60">
        <f t="shared" si="0"/>
        <v>-5.0161344537815467</v>
      </c>
      <c r="N60">
        <f t="shared" si="1"/>
        <v>-1.7523529411764667</v>
      </c>
      <c r="O60">
        <f t="shared" si="2"/>
        <v>25.161604858414297</v>
      </c>
      <c r="P60">
        <f t="shared" si="3"/>
        <v>3.0707408304498132</v>
      </c>
      <c r="Q60">
        <f t="shared" si="4"/>
        <v>8.7900379634207031</v>
      </c>
    </row>
    <row r="61" spans="1:17" x14ac:dyDescent="0.25">
      <c r="A61" s="6" t="s">
        <v>803</v>
      </c>
      <c r="B61" s="6">
        <v>71.95</v>
      </c>
      <c r="C61" s="6">
        <v>7.48</v>
      </c>
      <c r="D61" s="6">
        <v>19283.060000000001</v>
      </c>
      <c r="E61" s="6">
        <v>8.9499999999999993</v>
      </c>
      <c r="F61" s="6">
        <v>82.61</v>
      </c>
      <c r="G61" s="6">
        <v>29.66</v>
      </c>
      <c r="H61" s="6">
        <v>2.96</v>
      </c>
      <c r="I61" s="6">
        <v>92.87</v>
      </c>
      <c r="J61" s="6">
        <v>76.38</v>
      </c>
      <c r="K61" s="6">
        <v>3.3</v>
      </c>
      <c r="M61">
        <f t="shared" si="0"/>
        <v>-3.7961344537815478</v>
      </c>
      <c r="N61">
        <f t="shared" si="1"/>
        <v>-1.3523529411764663</v>
      </c>
      <c r="O61">
        <f t="shared" si="2"/>
        <v>14.410636791187331</v>
      </c>
      <c r="P61">
        <f t="shared" si="3"/>
        <v>1.8288584775086389</v>
      </c>
      <c r="Q61">
        <f t="shared" si="4"/>
        <v>5.1337135936727947</v>
      </c>
    </row>
    <row r="62" spans="1:17" x14ac:dyDescent="0.25">
      <c r="A62" s="6" t="s">
        <v>807</v>
      </c>
      <c r="B62" s="6">
        <v>68.650000000000006</v>
      </c>
      <c r="C62" s="6">
        <v>6.56</v>
      </c>
      <c r="D62" s="6">
        <v>21778.06</v>
      </c>
      <c r="E62" s="6">
        <v>14.92</v>
      </c>
      <c r="F62" s="6">
        <v>84.32</v>
      </c>
      <c r="G62" s="6">
        <v>22.51</v>
      </c>
      <c r="H62" s="6">
        <v>4.34</v>
      </c>
      <c r="I62" s="6">
        <v>87.3</v>
      </c>
      <c r="J62" s="6">
        <v>72.239999999999995</v>
      </c>
      <c r="K62" s="6">
        <v>6.63</v>
      </c>
      <c r="M62">
        <f t="shared" si="0"/>
        <v>-7.0961344537815449</v>
      </c>
      <c r="N62">
        <f t="shared" si="1"/>
        <v>-2.2723529411764671</v>
      </c>
      <c r="O62">
        <f t="shared" si="2"/>
        <v>50.355124186145503</v>
      </c>
      <c r="P62">
        <f t="shared" si="3"/>
        <v>5.1635878892733409</v>
      </c>
      <c r="Q62">
        <f t="shared" si="4"/>
        <v>16.124921997034157</v>
      </c>
    </row>
    <row r="63" spans="1:17" x14ac:dyDescent="0.25">
      <c r="A63" s="6" t="s">
        <v>811</v>
      </c>
      <c r="B63" s="6">
        <v>71.7</v>
      </c>
      <c r="C63" s="6">
        <v>7.36</v>
      </c>
      <c r="D63" s="6">
        <v>29444.38</v>
      </c>
      <c r="E63" s="6">
        <v>6.81</v>
      </c>
      <c r="F63" s="6">
        <v>87.09</v>
      </c>
      <c r="G63" s="6">
        <v>36.450000000000003</v>
      </c>
      <c r="H63" s="6">
        <v>3.87</v>
      </c>
      <c r="I63" s="6">
        <v>88.72</v>
      </c>
      <c r="J63" s="6">
        <v>73.489999999999995</v>
      </c>
      <c r="K63" s="6">
        <v>7.53</v>
      </c>
      <c r="M63">
        <f t="shared" si="0"/>
        <v>-4.0461344537815478</v>
      </c>
      <c r="N63">
        <f t="shared" si="1"/>
        <v>-1.4723529411764664</v>
      </c>
      <c r="O63">
        <f t="shared" si="2"/>
        <v>16.371204018078103</v>
      </c>
      <c r="P63">
        <f t="shared" si="3"/>
        <v>2.1678231833909911</v>
      </c>
      <c r="Q63">
        <f t="shared" si="4"/>
        <v>5.9573379634206978</v>
      </c>
    </row>
    <row r="64" spans="1:17" x14ac:dyDescent="0.25">
      <c r="A64" s="6" t="s">
        <v>815</v>
      </c>
      <c r="B64" s="6">
        <v>70.180000000000007</v>
      </c>
      <c r="C64" s="6">
        <v>6.41</v>
      </c>
      <c r="D64" s="6">
        <v>38546.980000000003</v>
      </c>
      <c r="E64" s="6">
        <v>15.6</v>
      </c>
      <c r="F64" s="6">
        <v>85.85</v>
      </c>
      <c r="G64" s="6">
        <v>19.309999999999999</v>
      </c>
      <c r="H64" s="6">
        <v>6.16</v>
      </c>
      <c r="I64" s="6">
        <v>87.54</v>
      </c>
      <c r="J64" s="6">
        <v>71.92</v>
      </c>
      <c r="K64" s="6">
        <v>8.35</v>
      </c>
      <c r="M64">
        <f t="shared" si="0"/>
        <v>-5.5661344537815438</v>
      </c>
      <c r="N64">
        <f t="shared" si="1"/>
        <v>-2.4223529411764666</v>
      </c>
      <c r="O64">
        <f t="shared" si="2"/>
        <v>30.981852757573964</v>
      </c>
      <c r="P64">
        <f t="shared" si="3"/>
        <v>5.8677937716262782</v>
      </c>
      <c r="Q64">
        <f t="shared" si="4"/>
        <v>13.483142165101388</v>
      </c>
    </row>
    <row r="65" spans="1:17" x14ac:dyDescent="0.25">
      <c r="A65" s="6" t="s">
        <v>818</v>
      </c>
      <c r="B65" s="6">
        <v>82.15</v>
      </c>
      <c r="C65" s="6">
        <v>11.43</v>
      </c>
      <c r="D65" s="6">
        <v>7668.79</v>
      </c>
      <c r="E65" s="6">
        <v>5.94</v>
      </c>
      <c r="F65" s="6">
        <v>88.55</v>
      </c>
      <c r="G65" s="6">
        <v>16.489999999999998</v>
      </c>
      <c r="H65" s="6">
        <v>4.09</v>
      </c>
      <c r="I65" s="6">
        <v>96.66</v>
      </c>
      <c r="J65" s="6">
        <v>67.66</v>
      </c>
      <c r="K65" s="6">
        <v>4.4000000000000004</v>
      </c>
      <c r="M65">
        <f t="shared" si="0"/>
        <v>6.4038655462184551</v>
      </c>
      <c r="N65">
        <f t="shared" si="1"/>
        <v>2.597647058823533</v>
      </c>
      <c r="O65">
        <f t="shared" si="2"/>
        <v>41.009493934043789</v>
      </c>
      <c r="P65">
        <f t="shared" si="3"/>
        <v>6.7477702422145516</v>
      </c>
      <c r="Q65">
        <f t="shared" si="4"/>
        <v>16.634982501235726</v>
      </c>
    </row>
    <row r="66" spans="1:17" x14ac:dyDescent="0.25">
      <c r="A66" s="6" t="s">
        <v>821</v>
      </c>
      <c r="B66" s="6">
        <v>84.41</v>
      </c>
      <c r="C66" s="6">
        <v>11.25</v>
      </c>
      <c r="D66" s="6">
        <v>42897.32</v>
      </c>
      <c r="E66" s="6">
        <v>8.31</v>
      </c>
      <c r="F66" s="6">
        <v>85.07</v>
      </c>
      <c r="G66" s="6">
        <v>8.5500000000000007</v>
      </c>
      <c r="H66" s="6">
        <v>2.86</v>
      </c>
      <c r="I66" s="6">
        <v>97.43</v>
      </c>
      <c r="J66" s="6">
        <v>67.42</v>
      </c>
      <c r="K66" s="6">
        <v>4.6100000000000003</v>
      </c>
      <c r="M66">
        <f t="shared" si="0"/>
        <v>8.663865546218446</v>
      </c>
      <c r="N66">
        <f t="shared" si="1"/>
        <v>2.4176470588235333</v>
      </c>
      <c r="O66">
        <f t="shared" si="2"/>
        <v>75.062566202951047</v>
      </c>
      <c r="P66">
        <f t="shared" si="3"/>
        <v>5.845017301038081</v>
      </c>
      <c r="Q66">
        <f t="shared" si="4"/>
        <v>20.94616905585757</v>
      </c>
    </row>
    <row r="67" spans="1:17" x14ac:dyDescent="0.25">
      <c r="A67" s="6" t="s">
        <v>824</v>
      </c>
      <c r="B67" s="6">
        <v>85.72</v>
      </c>
      <c r="C67" s="6">
        <v>11.48</v>
      </c>
      <c r="D67" s="6">
        <v>11505.05</v>
      </c>
      <c r="E67" s="6">
        <v>4.57</v>
      </c>
      <c r="F67" s="6">
        <v>96.28</v>
      </c>
      <c r="G67" s="6">
        <v>33.14</v>
      </c>
      <c r="H67" s="6">
        <v>3.77</v>
      </c>
      <c r="I67" s="6">
        <v>95.49</v>
      </c>
      <c r="J67" s="6">
        <v>70.72</v>
      </c>
      <c r="K67" s="6">
        <v>3.86</v>
      </c>
      <c r="M67">
        <f t="shared" si="0"/>
        <v>9.9738655462184482</v>
      </c>
      <c r="N67">
        <f t="shared" si="1"/>
        <v>2.6476470588235337</v>
      </c>
      <c r="O67">
        <f t="shared" si="2"/>
        <v>99.477993934043425</v>
      </c>
      <c r="P67">
        <f t="shared" si="3"/>
        <v>7.0100349480969086</v>
      </c>
      <c r="Q67">
        <f t="shared" si="4"/>
        <v>26.407275778546651</v>
      </c>
    </row>
    <row r="68" spans="1:17" x14ac:dyDescent="0.25">
      <c r="A68" s="6" t="s">
        <v>827</v>
      </c>
      <c r="B68" s="6">
        <v>85.24</v>
      </c>
      <c r="C68" s="6">
        <v>11.05</v>
      </c>
      <c r="D68" s="6">
        <v>170947.72</v>
      </c>
      <c r="E68" s="6">
        <v>4.03</v>
      </c>
      <c r="F68" s="6">
        <v>95.83</v>
      </c>
      <c r="G68" s="6">
        <v>28.35</v>
      </c>
      <c r="H68" s="6">
        <v>2.4300000000000002</v>
      </c>
      <c r="I68" s="6">
        <v>96.28</v>
      </c>
      <c r="J68" s="6">
        <v>69.88</v>
      </c>
      <c r="K68" s="6">
        <v>5.82</v>
      </c>
      <c r="M68">
        <f t="shared" ref="M68:M121" si="5">B68-$B$122</f>
        <v>9.4938655462184443</v>
      </c>
      <c r="N68">
        <f t="shared" ref="N68:N121" si="6">C68-$C$122</f>
        <v>2.217647058823534</v>
      </c>
      <c r="O68">
        <f t="shared" ref="O68:O120" si="7">M68^2</f>
        <v>90.13348300967364</v>
      </c>
      <c r="P68">
        <f t="shared" ref="P68:P121" si="8">N68^2</f>
        <v>4.9179584775086704</v>
      </c>
      <c r="Q68">
        <f t="shared" ref="Q68:Q121" si="9">M68*N68</f>
        <v>21.054043005437418</v>
      </c>
    </row>
    <row r="69" spans="1:17" x14ac:dyDescent="0.25">
      <c r="A69" s="6" t="s">
        <v>830</v>
      </c>
      <c r="B69" s="6">
        <v>77.209999999999994</v>
      </c>
      <c r="C69" s="6">
        <v>9.34</v>
      </c>
      <c r="D69" s="6">
        <v>8928.7999999999993</v>
      </c>
      <c r="E69" s="6">
        <v>6.71</v>
      </c>
      <c r="F69" s="6">
        <v>89.38</v>
      </c>
      <c r="G69" s="6">
        <v>19.86</v>
      </c>
      <c r="H69" s="6">
        <v>0.79</v>
      </c>
      <c r="I69" s="6">
        <v>95.49</v>
      </c>
      <c r="J69" s="6">
        <v>76.06</v>
      </c>
      <c r="K69" s="6">
        <v>4.91</v>
      </c>
      <c r="M69">
        <f t="shared" si="5"/>
        <v>1.4638655462184431</v>
      </c>
      <c r="N69">
        <f t="shared" si="6"/>
        <v>0.50764705882353311</v>
      </c>
      <c r="O69">
        <f t="shared" si="7"/>
        <v>2.1429023374054208</v>
      </c>
      <c r="P69">
        <f t="shared" si="8"/>
        <v>0.25770553633218368</v>
      </c>
      <c r="Q69">
        <f t="shared" si="9"/>
        <v>0.74312703905089739</v>
      </c>
    </row>
    <row r="70" spans="1:17" x14ac:dyDescent="0.25">
      <c r="A70" s="6" t="s">
        <v>833</v>
      </c>
      <c r="B70" s="6">
        <v>77.5</v>
      </c>
      <c r="C70" s="6">
        <v>9.2799999999999994</v>
      </c>
      <c r="D70" s="6">
        <v>13119.7</v>
      </c>
      <c r="E70" s="6">
        <v>7.64</v>
      </c>
      <c r="F70" s="6">
        <v>92.48</v>
      </c>
      <c r="G70" s="6">
        <v>16.68</v>
      </c>
      <c r="H70" s="6">
        <v>5.19</v>
      </c>
      <c r="I70" s="6">
        <v>93.92</v>
      </c>
      <c r="J70" s="6">
        <v>69.61</v>
      </c>
      <c r="K70" s="6">
        <v>5.88</v>
      </c>
      <c r="M70">
        <f t="shared" si="5"/>
        <v>1.7538655462184494</v>
      </c>
      <c r="N70">
        <f t="shared" si="6"/>
        <v>0.44764705882353262</v>
      </c>
      <c r="O70">
        <f t="shared" si="7"/>
        <v>3.0760443542121396</v>
      </c>
      <c r="P70">
        <f t="shared" si="8"/>
        <v>0.20038788927335927</v>
      </c>
      <c r="Q70">
        <f t="shared" si="9"/>
        <v>0.78511275333661734</v>
      </c>
    </row>
    <row r="71" spans="1:17" x14ac:dyDescent="0.25">
      <c r="A71" s="6" t="s">
        <v>838</v>
      </c>
      <c r="B71" s="6">
        <v>76.180000000000007</v>
      </c>
      <c r="C71" s="6">
        <v>9.1999999999999993</v>
      </c>
      <c r="D71" s="6">
        <v>10426.23</v>
      </c>
      <c r="E71" s="6">
        <v>15.62</v>
      </c>
      <c r="F71" s="6">
        <v>97.16</v>
      </c>
      <c r="G71" s="6">
        <v>10.11</v>
      </c>
      <c r="H71" s="6">
        <v>4.33</v>
      </c>
      <c r="I71" s="6">
        <v>95.86</v>
      </c>
      <c r="J71" s="6">
        <v>78.569999999999993</v>
      </c>
      <c r="K71" s="6">
        <v>2.0099999999999998</v>
      </c>
      <c r="M71">
        <f t="shared" si="5"/>
        <v>0.43386554621845619</v>
      </c>
      <c r="N71">
        <f t="shared" si="6"/>
        <v>0.36764705882353255</v>
      </c>
      <c r="O71">
        <f t="shared" si="7"/>
        <v>0.18823931219543935</v>
      </c>
      <c r="P71">
        <f t="shared" si="8"/>
        <v>0.135164359861594</v>
      </c>
      <c r="Q71">
        <f t="shared" si="9"/>
        <v>0.15950939199208083</v>
      </c>
    </row>
    <row r="72" spans="1:17" x14ac:dyDescent="0.25">
      <c r="A72" s="6" t="s">
        <v>840</v>
      </c>
      <c r="B72" s="6">
        <v>82.05</v>
      </c>
      <c r="C72" s="6">
        <v>9.81</v>
      </c>
      <c r="D72" s="6">
        <v>22964.66</v>
      </c>
      <c r="E72" s="6">
        <v>11.66</v>
      </c>
      <c r="F72" s="6">
        <v>96.46</v>
      </c>
      <c r="G72" s="6">
        <v>14.08</v>
      </c>
      <c r="H72" s="6">
        <v>3.75</v>
      </c>
      <c r="I72" s="6">
        <v>96.05</v>
      </c>
      <c r="J72" s="6">
        <v>74.87</v>
      </c>
      <c r="K72" s="6">
        <v>3.62</v>
      </c>
      <c r="M72">
        <f t="shared" si="5"/>
        <v>6.3038655462184465</v>
      </c>
      <c r="N72">
        <f t="shared" si="6"/>
        <v>0.97764705882353375</v>
      </c>
      <c r="O72">
        <f t="shared" si="7"/>
        <v>39.738720824799991</v>
      </c>
      <c r="P72">
        <f t="shared" si="8"/>
        <v>0.95579377162630608</v>
      </c>
      <c r="Q72">
        <f t="shared" si="9"/>
        <v>6.1629556104794734</v>
      </c>
    </row>
    <row r="73" spans="1:17" x14ac:dyDescent="0.25">
      <c r="A73" s="6" t="s">
        <v>843</v>
      </c>
      <c r="B73" s="6">
        <v>72.14</v>
      </c>
      <c r="C73" s="6">
        <v>7.35</v>
      </c>
      <c r="D73" s="6">
        <v>16506.419999999998</v>
      </c>
      <c r="E73" s="6">
        <v>15.18</v>
      </c>
      <c r="F73" s="6">
        <v>97.63</v>
      </c>
      <c r="G73" s="6">
        <v>8.3800000000000008</v>
      </c>
      <c r="H73" s="6">
        <v>3.76</v>
      </c>
      <c r="I73" s="6">
        <v>87.13</v>
      </c>
      <c r="J73" s="6">
        <v>76.87</v>
      </c>
      <c r="K73" s="6">
        <v>2.16</v>
      </c>
      <c r="M73">
        <f t="shared" si="5"/>
        <v>-3.6061344537815501</v>
      </c>
      <c r="N73">
        <f t="shared" si="6"/>
        <v>-1.4823529411764671</v>
      </c>
      <c r="O73">
        <f t="shared" si="7"/>
        <v>13.004205698750358</v>
      </c>
      <c r="P73">
        <f t="shared" si="8"/>
        <v>2.1973702422145225</v>
      </c>
      <c r="Q73">
        <f t="shared" si="9"/>
        <v>5.3455640138408738</v>
      </c>
    </row>
    <row r="74" spans="1:17" x14ac:dyDescent="0.25">
      <c r="A74" s="6" t="s">
        <v>847</v>
      </c>
      <c r="B74" s="6">
        <v>85.71</v>
      </c>
      <c r="C74" s="6">
        <v>11.33</v>
      </c>
      <c r="D74" s="6">
        <v>41560</v>
      </c>
      <c r="E74" s="6">
        <v>7.46</v>
      </c>
      <c r="F74" s="6">
        <v>96.43</v>
      </c>
      <c r="G74" s="6">
        <v>12.37</v>
      </c>
      <c r="H74" s="6">
        <v>2.88</v>
      </c>
      <c r="I74" s="6">
        <v>97.11</v>
      </c>
      <c r="J74" s="6">
        <v>73.27</v>
      </c>
      <c r="K74" s="6">
        <v>4.13</v>
      </c>
      <c r="M74">
        <f t="shared" si="5"/>
        <v>9.9638655462184431</v>
      </c>
      <c r="N74">
        <f t="shared" si="6"/>
        <v>2.4976470588235333</v>
      </c>
      <c r="O74">
        <f t="shared" si="7"/>
        <v>99.27861662311895</v>
      </c>
      <c r="P74">
        <f t="shared" si="8"/>
        <v>6.2382408304498469</v>
      </c>
      <c r="Q74">
        <f t="shared" si="9"/>
        <v>24.886219476025634</v>
      </c>
    </row>
    <row r="75" spans="1:17" x14ac:dyDescent="0.25">
      <c r="A75" s="6" t="s">
        <v>851</v>
      </c>
      <c r="B75" s="6">
        <v>89.1</v>
      </c>
      <c r="C75" s="6">
        <v>12.12</v>
      </c>
      <c r="D75" s="6">
        <v>32964.35</v>
      </c>
      <c r="E75" s="6">
        <v>6.26</v>
      </c>
      <c r="F75" s="6">
        <v>96.27</v>
      </c>
      <c r="G75" s="6">
        <v>12.02</v>
      </c>
      <c r="H75" s="6">
        <v>3.51</v>
      </c>
      <c r="I75" s="6">
        <v>99.25</v>
      </c>
      <c r="J75" s="6">
        <v>70.56</v>
      </c>
      <c r="K75" s="6">
        <v>5.8</v>
      </c>
      <c r="M75">
        <f t="shared" si="5"/>
        <v>13.353865546218444</v>
      </c>
      <c r="N75">
        <f t="shared" si="6"/>
        <v>3.2876470588235325</v>
      </c>
      <c r="O75">
        <f t="shared" si="7"/>
        <v>178.32572502648</v>
      </c>
      <c r="P75">
        <f t="shared" si="8"/>
        <v>10.808623183391024</v>
      </c>
      <c r="Q75">
        <f t="shared" si="9"/>
        <v>43.90279678694997</v>
      </c>
    </row>
    <row r="76" spans="1:17" x14ac:dyDescent="0.25">
      <c r="A76" s="6" t="s">
        <v>856</v>
      </c>
      <c r="B76" s="6">
        <v>71.489999999999995</v>
      </c>
      <c r="C76" s="6">
        <v>7.9</v>
      </c>
      <c r="D76" s="6">
        <v>12775.8</v>
      </c>
      <c r="E76" s="6">
        <v>13.08</v>
      </c>
      <c r="F76" s="6">
        <v>81.260000000000005</v>
      </c>
      <c r="G76" s="6">
        <v>7.71</v>
      </c>
      <c r="H76" s="6">
        <v>7.14</v>
      </c>
      <c r="I76" s="6">
        <v>87.11</v>
      </c>
      <c r="J76" s="6">
        <v>86.62</v>
      </c>
      <c r="K76" s="6">
        <v>1.56</v>
      </c>
      <c r="M76">
        <f t="shared" si="5"/>
        <v>-4.2561344537815557</v>
      </c>
      <c r="N76">
        <f t="shared" si="6"/>
        <v>-0.93235294117646639</v>
      </c>
      <c r="O76">
        <f t="shared" si="7"/>
        <v>18.114680488666423</v>
      </c>
      <c r="P76">
        <f t="shared" si="8"/>
        <v>0.86928200692040736</v>
      </c>
      <c r="Q76">
        <f t="shared" si="9"/>
        <v>3.9682194760257268</v>
      </c>
    </row>
    <row r="77" spans="1:17" x14ac:dyDescent="0.25">
      <c r="A77" s="6" t="s">
        <v>860</v>
      </c>
      <c r="B77" s="6">
        <v>73.7</v>
      </c>
      <c r="C77" s="6">
        <v>7.8</v>
      </c>
      <c r="D77" s="6">
        <v>16622.8</v>
      </c>
      <c r="E77" s="6">
        <v>9.11</v>
      </c>
      <c r="F77" s="6">
        <v>92.57</v>
      </c>
      <c r="G77" s="6">
        <v>9.6199999999999992</v>
      </c>
      <c r="H77" s="6">
        <v>7.49</v>
      </c>
      <c r="I77" s="6">
        <v>95.16</v>
      </c>
      <c r="J77" s="6">
        <v>78.75</v>
      </c>
      <c r="K77" s="6">
        <v>4.1900000000000004</v>
      </c>
      <c r="M77">
        <f t="shared" si="5"/>
        <v>-2.0461344537815478</v>
      </c>
      <c r="N77">
        <f t="shared" si="6"/>
        <v>-1.0323529411764669</v>
      </c>
      <c r="O77">
        <f t="shared" si="7"/>
        <v>4.1866662029519128</v>
      </c>
      <c r="P77">
        <f t="shared" si="8"/>
        <v>1.0657525951557019</v>
      </c>
      <c r="Q77">
        <f t="shared" si="9"/>
        <v>2.1123329214038846</v>
      </c>
    </row>
    <row r="78" spans="1:17" x14ac:dyDescent="0.25">
      <c r="A78" s="6" t="s">
        <v>864</v>
      </c>
      <c r="B78" s="6">
        <v>72.47</v>
      </c>
      <c r="C78" s="6">
        <v>7.92</v>
      </c>
      <c r="D78" s="6">
        <v>14881.6</v>
      </c>
      <c r="E78" s="6">
        <v>10.5</v>
      </c>
      <c r="F78" s="6">
        <v>84.66</v>
      </c>
      <c r="G78" s="6">
        <v>19.420000000000002</v>
      </c>
      <c r="H78" s="6">
        <v>6.68</v>
      </c>
      <c r="I78" s="6">
        <v>93.2</v>
      </c>
      <c r="J78" s="6">
        <v>80.08</v>
      </c>
      <c r="K78" s="6">
        <v>3.9</v>
      </c>
      <c r="M78">
        <f t="shared" si="5"/>
        <v>-3.2761344537815518</v>
      </c>
      <c r="N78">
        <f t="shared" si="6"/>
        <v>-0.91235294117646681</v>
      </c>
      <c r="O78">
        <f t="shared" si="7"/>
        <v>10.733056959254547</v>
      </c>
      <c r="P78">
        <f t="shared" si="8"/>
        <v>0.8323878892733495</v>
      </c>
      <c r="Q78">
        <f t="shared" si="9"/>
        <v>2.9889909045971566</v>
      </c>
    </row>
    <row r="79" spans="1:17" x14ac:dyDescent="0.25">
      <c r="A79" s="6" t="s">
        <v>868</v>
      </c>
      <c r="B79" s="6">
        <v>75.13</v>
      </c>
      <c r="C79" s="6">
        <v>8.68</v>
      </c>
      <c r="D79" s="6">
        <v>31703.9</v>
      </c>
      <c r="E79" s="6">
        <v>6.28</v>
      </c>
      <c r="F79" s="6">
        <v>87.76</v>
      </c>
      <c r="G79" s="6">
        <v>24.16</v>
      </c>
      <c r="H79" s="6">
        <v>7.11</v>
      </c>
      <c r="I79" s="6">
        <v>95.99</v>
      </c>
      <c r="J79" s="6">
        <v>75.569999999999993</v>
      </c>
      <c r="K79" s="6">
        <v>4.12</v>
      </c>
      <c r="M79">
        <f t="shared" si="5"/>
        <v>-0.61613445378155518</v>
      </c>
      <c r="N79">
        <f t="shared" si="6"/>
        <v>-0.15235294117646703</v>
      </c>
      <c r="O79">
        <f t="shared" si="7"/>
        <v>0.37962166513669537</v>
      </c>
      <c r="P79">
        <f t="shared" si="8"/>
        <v>2.3211418685120021E-2</v>
      </c>
      <c r="Q79">
        <f t="shared" si="9"/>
        <v>9.386989619377592E-2</v>
      </c>
    </row>
    <row r="80" spans="1:17" x14ac:dyDescent="0.25">
      <c r="A80" s="6" t="s">
        <v>871</v>
      </c>
      <c r="B80" s="6">
        <v>73.44</v>
      </c>
      <c r="C80" s="6">
        <v>7.87</v>
      </c>
      <c r="D80" s="6">
        <v>29493.8</v>
      </c>
      <c r="E80" s="6">
        <v>8.16</v>
      </c>
      <c r="F80" s="6">
        <v>86.16</v>
      </c>
      <c r="G80" s="6">
        <v>15.46</v>
      </c>
      <c r="H80" s="6">
        <v>6.62</v>
      </c>
      <c r="I80" s="6">
        <v>94.1</v>
      </c>
      <c r="J80" s="6">
        <v>72.36</v>
      </c>
      <c r="K80" s="6">
        <v>4.7699999999999996</v>
      </c>
      <c r="M80">
        <f t="shared" si="5"/>
        <v>-2.3061344537815529</v>
      </c>
      <c r="N80">
        <f t="shared" si="6"/>
        <v>-0.96235294117646664</v>
      </c>
      <c r="O80">
        <f t="shared" si="7"/>
        <v>5.3182561189183417</v>
      </c>
      <c r="P80">
        <f t="shared" si="8"/>
        <v>0.92612318339099586</v>
      </c>
      <c r="Q80">
        <f t="shared" si="9"/>
        <v>2.2193152743450617</v>
      </c>
    </row>
    <row r="81" spans="1:17" x14ac:dyDescent="0.25">
      <c r="A81" s="6" t="s">
        <v>875</v>
      </c>
      <c r="B81" s="6">
        <v>75.180000000000007</v>
      </c>
      <c r="C81" s="6">
        <v>8.26</v>
      </c>
      <c r="D81" s="6">
        <v>33787.599999999999</v>
      </c>
      <c r="E81" s="6">
        <v>9.9499999999999993</v>
      </c>
      <c r="F81" s="6">
        <v>94.94</v>
      </c>
      <c r="G81" s="6">
        <v>23.06</v>
      </c>
      <c r="H81" s="6">
        <v>7.85</v>
      </c>
      <c r="I81" s="6">
        <v>94.01</v>
      </c>
      <c r="J81" s="6">
        <v>71.31</v>
      </c>
      <c r="K81" s="6">
        <v>5.0999999999999996</v>
      </c>
      <c r="M81">
        <f t="shared" si="5"/>
        <v>-0.56613445378154381</v>
      </c>
      <c r="N81">
        <f t="shared" si="6"/>
        <v>-0.57235294117646696</v>
      </c>
      <c r="O81">
        <f t="shared" si="7"/>
        <v>0.32050821975852695</v>
      </c>
      <c r="P81">
        <f t="shared" si="8"/>
        <v>0.32758788927335225</v>
      </c>
      <c r="Q81">
        <f t="shared" si="9"/>
        <v>0.32402871972319919</v>
      </c>
    </row>
    <row r="82" spans="1:17" x14ac:dyDescent="0.25">
      <c r="A82" s="6" t="s">
        <v>878</v>
      </c>
      <c r="B82" s="6">
        <v>73.53</v>
      </c>
      <c r="C82" s="6">
        <v>7.8</v>
      </c>
      <c r="D82" s="6">
        <v>79500.899999999994</v>
      </c>
      <c r="E82" s="6">
        <v>8.98</v>
      </c>
      <c r="F82" s="6">
        <v>86.74</v>
      </c>
      <c r="G82" s="6">
        <v>32.71</v>
      </c>
      <c r="H82" s="6">
        <v>4.68</v>
      </c>
      <c r="I82" s="6">
        <v>89.53</v>
      </c>
      <c r="J82" s="6">
        <v>72.900000000000006</v>
      </c>
      <c r="K82" s="6">
        <v>5.13</v>
      </c>
      <c r="M82">
        <f t="shared" si="5"/>
        <v>-2.2161344537815495</v>
      </c>
      <c r="N82">
        <f t="shared" si="6"/>
        <v>-1.0323529411764669</v>
      </c>
      <c r="O82">
        <f t="shared" si="7"/>
        <v>4.9112519172376468</v>
      </c>
      <c r="P82">
        <f t="shared" si="8"/>
        <v>1.0657525951557019</v>
      </c>
      <c r="Q82">
        <f t="shared" si="9"/>
        <v>2.2878329214038855</v>
      </c>
    </row>
    <row r="83" spans="1:17" x14ac:dyDescent="0.25">
      <c r="A83" s="6" t="s">
        <v>882</v>
      </c>
      <c r="B83" s="6">
        <v>70.31</v>
      </c>
      <c r="C83" s="6">
        <v>7.27</v>
      </c>
      <c r="D83" s="6">
        <v>25929.9</v>
      </c>
      <c r="E83" s="6">
        <v>8.65</v>
      </c>
      <c r="F83" s="6">
        <v>82.45</v>
      </c>
      <c r="G83" s="6">
        <v>23.29</v>
      </c>
      <c r="H83" s="6">
        <v>7.66</v>
      </c>
      <c r="I83" s="6">
        <v>90.16</v>
      </c>
      <c r="J83" s="6">
        <v>70.86</v>
      </c>
      <c r="K83" s="6">
        <v>3.28</v>
      </c>
      <c r="M83">
        <f t="shared" si="5"/>
        <v>-5.4361344537815484</v>
      </c>
      <c r="N83">
        <f t="shared" si="6"/>
        <v>-1.5623529411764672</v>
      </c>
      <c r="O83">
        <f t="shared" si="7"/>
        <v>29.551557799590814</v>
      </c>
      <c r="P83">
        <f t="shared" si="8"/>
        <v>2.4409467128027575</v>
      </c>
      <c r="Q83">
        <f t="shared" si="9"/>
        <v>8.4931606524963303</v>
      </c>
    </row>
    <row r="84" spans="1:17" x14ac:dyDescent="0.25">
      <c r="A84" s="6" t="s">
        <v>885</v>
      </c>
      <c r="B84" s="6">
        <v>70.930000000000007</v>
      </c>
      <c r="C84" s="6">
        <v>6.54</v>
      </c>
      <c r="D84" s="6">
        <v>62897.2</v>
      </c>
      <c r="E84" s="6">
        <v>9.01</v>
      </c>
      <c r="F84" s="6">
        <v>67.459999999999994</v>
      </c>
      <c r="G84" s="6">
        <v>21.01</v>
      </c>
      <c r="H84" s="6">
        <v>5.59</v>
      </c>
      <c r="I84" s="6">
        <v>86.35</v>
      </c>
      <c r="J84" s="6">
        <v>73.760000000000005</v>
      </c>
      <c r="K84" s="6">
        <v>3.23</v>
      </c>
      <c r="M84">
        <f t="shared" si="5"/>
        <v>-4.8161344537815438</v>
      </c>
      <c r="N84">
        <f t="shared" si="6"/>
        <v>-2.2923529411764667</v>
      </c>
      <c r="O84">
        <f t="shared" si="7"/>
        <v>23.195151076901649</v>
      </c>
      <c r="P84">
        <f t="shared" si="8"/>
        <v>5.2548820069203979</v>
      </c>
      <c r="Q84">
        <f t="shared" si="9"/>
        <v>11.040279980227439</v>
      </c>
    </row>
    <row r="85" spans="1:17" x14ac:dyDescent="0.25">
      <c r="A85" s="6" t="s">
        <v>887</v>
      </c>
      <c r="B85" s="6">
        <v>74.3</v>
      </c>
      <c r="C85" s="6">
        <v>7.78</v>
      </c>
      <c r="D85" s="6">
        <v>63693.599999999999</v>
      </c>
      <c r="E85" s="6">
        <v>6.54</v>
      </c>
      <c r="F85" s="6">
        <v>86.22</v>
      </c>
      <c r="G85" s="6">
        <v>12.94</v>
      </c>
      <c r="H85" s="6">
        <v>7.05</v>
      </c>
      <c r="I85" s="6">
        <v>88.09</v>
      </c>
      <c r="J85" s="6">
        <v>75.36</v>
      </c>
      <c r="K85" s="6">
        <v>4.03</v>
      </c>
      <c r="M85">
        <f t="shared" si="5"/>
        <v>-1.4461344537815535</v>
      </c>
      <c r="N85">
        <f t="shared" si="6"/>
        <v>-1.0523529411764665</v>
      </c>
      <c r="O85">
        <f t="shared" si="7"/>
        <v>2.0913048584140719</v>
      </c>
      <c r="P85">
        <f t="shared" si="8"/>
        <v>1.1074467128027596</v>
      </c>
      <c r="Q85">
        <f t="shared" si="9"/>
        <v>1.5218438457736407</v>
      </c>
    </row>
    <row r="86" spans="1:17" x14ac:dyDescent="0.25">
      <c r="A86" s="6" t="s">
        <v>891</v>
      </c>
      <c r="B86" s="6">
        <v>71.22</v>
      </c>
      <c r="C86" s="6">
        <v>6.53</v>
      </c>
      <c r="D86" s="6">
        <v>15809.3</v>
      </c>
      <c r="E86" s="6">
        <v>12.6</v>
      </c>
      <c r="F86" s="6">
        <v>62.1</v>
      </c>
      <c r="G86" s="6">
        <v>25.21</v>
      </c>
      <c r="H86" s="6">
        <v>4.4800000000000004</v>
      </c>
      <c r="I86" s="6">
        <v>91.49</v>
      </c>
      <c r="J86" s="6">
        <v>75.099999999999994</v>
      </c>
      <c r="K86" s="6">
        <v>3.63</v>
      </c>
      <c r="M86">
        <f t="shared" si="5"/>
        <v>-4.5261344537815518</v>
      </c>
      <c r="N86">
        <f t="shared" si="6"/>
        <v>-2.3023529411764665</v>
      </c>
      <c r="O86">
        <f t="shared" si="7"/>
        <v>20.485893093708427</v>
      </c>
      <c r="P86">
        <f t="shared" si="8"/>
        <v>5.3008290657439261</v>
      </c>
      <c r="Q86">
        <f t="shared" si="9"/>
        <v>10.420758971824096</v>
      </c>
    </row>
    <row r="87" spans="1:17" x14ac:dyDescent="0.25">
      <c r="A87" s="6" t="s">
        <v>895</v>
      </c>
      <c r="B87" s="6">
        <v>71.22</v>
      </c>
      <c r="C87" s="6">
        <v>6.93</v>
      </c>
      <c r="D87" s="6">
        <v>15741.8</v>
      </c>
      <c r="E87" s="6">
        <v>11.51</v>
      </c>
      <c r="F87" s="6">
        <v>62.66</v>
      </c>
      <c r="G87" s="6">
        <v>20.97</v>
      </c>
      <c r="H87" s="6">
        <v>6.7</v>
      </c>
      <c r="I87" s="6">
        <v>87.99</v>
      </c>
      <c r="J87" s="6">
        <v>76.66</v>
      </c>
      <c r="K87" s="6">
        <v>3.15</v>
      </c>
      <c r="M87">
        <f t="shared" si="5"/>
        <v>-4.5261344537815518</v>
      </c>
      <c r="N87">
        <f t="shared" si="6"/>
        <v>-1.902352941176467</v>
      </c>
      <c r="O87">
        <f t="shared" si="7"/>
        <v>20.485893093708427</v>
      </c>
      <c r="P87">
        <f t="shared" si="8"/>
        <v>3.6189467128027548</v>
      </c>
      <c r="Q87">
        <f t="shared" si="9"/>
        <v>8.6103051903114771</v>
      </c>
    </row>
    <row r="88" spans="1:17" x14ac:dyDescent="0.25">
      <c r="A88" s="6" t="s">
        <v>898</v>
      </c>
      <c r="B88" s="6">
        <v>70.849999999999994</v>
      </c>
      <c r="C88" s="6">
        <v>6.31</v>
      </c>
      <c r="D88" s="6">
        <v>27153.1</v>
      </c>
      <c r="E88" s="6">
        <v>16.45</v>
      </c>
      <c r="F88" s="6">
        <v>66.39</v>
      </c>
      <c r="G88" s="6">
        <v>27.36</v>
      </c>
      <c r="H88" s="6">
        <v>7.16</v>
      </c>
      <c r="I88" s="6">
        <v>87.11</v>
      </c>
      <c r="J88" s="6">
        <v>73.180000000000007</v>
      </c>
      <c r="K88" s="6">
        <v>3</v>
      </c>
      <c r="M88">
        <f t="shared" si="5"/>
        <v>-4.8961344537815563</v>
      </c>
      <c r="N88">
        <f t="shared" si="6"/>
        <v>-2.5223529411764671</v>
      </c>
      <c r="O88">
        <f t="shared" si="7"/>
        <v>23.97213258950682</v>
      </c>
      <c r="P88">
        <f t="shared" si="8"/>
        <v>6.362264359861574</v>
      </c>
      <c r="Q88">
        <f t="shared" si="9"/>
        <v>12.349779139891345</v>
      </c>
    </row>
    <row r="89" spans="1:17" x14ac:dyDescent="0.25">
      <c r="A89" s="6" t="s">
        <v>901</v>
      </c>
      <c r="B89" s="6">
        <v>72.36</v>
      </c>
      <c r="C89" s="6">
        <v>7.46</v>
      </c>
      <c r="D89" s="6">
        <v>125622.8</v>
      </c>
      <c r="E89" s="6">
        <v>8.6300000000000008</v>
      </c>
      <c r="F89" s="6">
        <v>86.36</v>
      </c>
      <c r="G89" s="6">
        <v>60.65</v>
      </c>
      <c r="H89" s="6">
        <v>5.47</v>
      </c>
      <c r="I89" s="6">
        <v>91.94</v>
      </c>
      <c r="J89" s="6">
        <v>75.31</v>
      </c>
      <c r="K89" s="6">
        <v>5.0199999999999996</v>
      </c>
      <c r="M89">
        <f t="shared" si="5"/>
        <v>-3.3861344537815512</v>
      </c>
      <c r="N89">
        <f t="shared" si="6"/>
        <v>-1.3723529411764668</v>
      </c>
      <c r="O89">
        <f t="shared" si="7"/>
        <v>11.465906539086484</v>
      </c>
      <c r="P89">
        <f t="shared" si="8"/>
        <v>1.8833525951556989</v>
      </c>
      <c r="Q89">
        <f t="shared" si="9"/>
        <v>4.6469715768660809</v>
      </c>
    </row>
    <row r="90" spans="1:17" x14ac:dyDescent="0.25">
      <c r="A90" s="6" t="s">
        <v>903</v>
      </c>
      <c r="B90" s="6">
        <v>82.67</v>
      </c>
      <c r="C90" s="6">
        <v>10.91</v>
      </c>
      <c r="D90" s="6">
        <v>169867.8</v>
      </c>
      <c r="E90" s="6">
        <v>4.53</v>
      </c>
      <c r="F90" s="6">
        <v>97.95</v>
      </c>
      <c r="G90" s="6">
        <v>48.57</v>
      </c>
      <c r="H90" s="6">
        <v>5.18</v>
      </c>
      <c r="I90" s="6">
        <v>95.45</v>
      </c>
      <c r="J90" s="6">
        <v>68.37</v>
      </c>
      <c r="K90" s="6">
        <v>6.49</v>
      </c>
      <c r="M90">
        <f t="shared" si="5"/>
        <v>6.9238655462184511</v>
      </c>
      <c r="N90">
        <f t="shared" si="6"/>
        <v>2.0776470588235334</v>
      </c>
      <c r="O90">
        <f t="shared" si="7"/>
        <v>47.939914102110933</v>
      </c>
      <c r="P90">
        <f t="shared" si="8"/>
        <v>4.3166173010380788</v>
      </c>
      <c r="Q90">
        <f t="shared" si="9"/>
        <v>14.385348887790363</v>
      </c>
    </row>
    <row r="91" spans="1:17" x14ac:dyDescent="0.25">
      <c r="A91" s="6" t="s">
        <v>907</v>
      </c>
      <c r="B91" s="6">
        <v>76.69</v>
      </c>
      <c r="C91" s="6">
        <v>9.1300000000000008</v>
      </c>
      <c r="D91" s="6">
        <v>70527.7</v>
      </c>
      <c r="E91" s="6">
        <v>9.3699999999999992</v>
      </c>
      <c r="F91" s="6">
        <v>91.14</v>
      </c>
      <c r="G91" s="6">
        <v>57.93</v>
      </c>
      <c r="H91" s="6">
        <v>5.89</v>
      </c>
      <c r="I91" s="6">
        <v>92.41</v>
      </c>
      <c r="J91" s="6">
        <v>73.94</v>
      </c>
      <c r="K91" s="6">
        <v>3.87</v>
      </c>
      <c r="M91">
        <f t="shared" si="5"/>
        <v>0.94386554621844709</v>
      </c>
      <c r="N91">
        <f t="shared" si="6"/>
        <v>0.29764705882353404</v>
      </c>
      <c r="O91">
        <f t="shared" si="7"/>
        <v>0.89088216933824749</v>
      </c>
      <c r="P91">
        <f t="shared" si="8"/>
        <v>8.8593771626300333E-2</v>
      </c>
      <c r="Q91">
        <f t="shared" si="9"/>
        <v>0.2809388037567892</v>
      </c>
    </row>
    <row r="92" spans="1:17" x14ac:dyDescent="0.25">
      <c r="A92" s="6" t="s">
        <v>911</v>
      </c>
      <c r="B92" s="6">
        <v>75.67</v>
      </c>
      <c r="C92" s="6">
        <v>8.7799999999999994</v>
      </c>
      <c r="D92" s="6">
        <v>33230.5</v>
      </c>
      <c r="E92" s="6">
        <v>8.6</v>
      </c>
      <c r="F92" s="6">
        <v>96.13</v>
      </c>
      <c r="G92" s="6">
        <v>22.24</v>
      </c>
      <c r="H92" s="6">
        <v>6.65</v>
      </c>
      <c r="I92" s="6">
        <v>91.32</v>
      </c>
      <c r="J92" s="6">
        <v>71.88</v>
      </c>
      <c r="K92" s="6">
        <v>3.75</v>
      </c>
      <c r="M92">
        <f t="shared" si="5"/>
        <v>-7.6134453781548928E-2</v>
      </c>
      <c r="N92">
        <f t="shared" si="6"/>
        <v>-5.2352941176467382E-2</v>
      </c>
      <c r="O92">
        <f t="shared" si="7"/>
        <v>5.7964550526148099E-3</v>
      </c>
      <c r="P92">
        <f t="shared" si="8"/>
        <v>2.7408304498266539E-3</v>
      </c>
      <c r="Q92">
        <f t="shared" si="9"/>
        <v>3.9858625803279053E-3</v>
      </c>
    </row>
    <row r="93" spans="1:17" x14ac:dyDescent="0.25">
      <c r="A93" s="6" t="s">
        <v>914</v>
      </c>
      <c r="B93" s="6">
        <v>75.239999999999995</v>
      </c>
      <c r="C93" s="6">
        <v>8.25</v>
      </c>
      <c r="D93" s="6">
        <v>21614.9</v>
      </c>
      <c r="E93" s="6">
        <v>10.17</v>
      </c>
      <c r="F93" s="6">
        <v>90.96</v>
      </c>
      <c r="G93" s="6">
        <v>16.309999999999999</v>
      </c>
      <c r="H93" s="6">
        <v>6.67</v>
      </c>
      <c r="I93" s="6">
        <v>94.92</v>
      </c>
      <c r="J93" s="6">
        <v>69.790000000000006</v>
      </c>
      <c r="K93" s="6">
        <v>3.87</v>
      </c>
      <c r="M93">
        <f t="shared" si="5"/>
        <v>-0.50613445378155575</v>
      </c>
      <c r="N93">
        <f t="shared" si="6"/>
        <v>-0.58235294117646674</v>
      </c>
      <c r="O93">
        <f t="shared" si="7"/>
        <v>0.25617208530475377</v>
      </c>
      <c r="P93">
        <f t="shared" si="8"/>
        <v>0.33913494809688133</v>
      </c>
      <c r="Q93">
        <f t="shared" si="9"/>
        <v>0.29474888779043346</v>
      </c>
    </row>
    <row r="94" spans="1:17" x14ac:dyDescent="0.25">
      <c r="A94" s="6" t="s">
        <v>918</v>
      </c>
      <c r="B94" s="6">
        <v>74.81</v>
      </c>
      <c r="C94" s="6">
        <v>8.1999999999999993</v>
      </c>
      <c r="D94" s="6">
        <v>15593.2</v>
      </c>
      <c r="E94" s="6">
        <v>10.63</v>
      </c>
      <c r="F94" s="6">
        <v>91.47</v>
      </c>
      <c r="G94" s="6">
        <v>14.57</v>
      </c>
      <c r="H94" s="6">
        <v>5.01</v>
      </c>
      <c r="I94" s="6">
        <v>93.33</v>
      </c>
      <c r="J94" s="6">
        <v>72.34</v>
      </c>
      <c r="K94" s="6">
        <v>4.34</v>
      </c>
      <c r="M94">
        <f t="shared" si="5"/>
        <v>-0.93613445378154836</v>
      </c>
      <c r="N94">
        <f t="shared" si="6"/>
        <v>-0.63235294117646745</v>
      </c>
      <c r="O94">
        <f t="shared" si="7"/>
        <v>0.87634771555687785</v>
      </c>
      <c r="P94">
        <f t="shared" si="8"/>
        <v>0.39987024221452888</v>
      </c>
      <c r="Q94">
        <f t="shared" si="9"/>
        <v>0.59196737518538789</v>
      </c>
    </row>
    <row r="95" spans="1:17" x14ac:dyDescent="0.25">
      <c r="A95" s="6" t="s">
        <v>921</v>
      </c>
      <c r="B95" s="6">
        <v>76.77</v>
      </c>
      <c r="C95" s="6">
        <v>8.69</v>
      </c>
      <c r="D95" s="6">
        <v>15259.9</v>
      </c>
      <c r="E95" s="6">
        <v>9.32</v>
      </c>
      <c r="F95" s="6">
        <v>89.99</v>
      </c>
      <c r="G95" s="6">
        <v>12.28</v>
      </c>
      <c r="H95" s="6">
        <v>4.5</v>
      </c>
      <c r="I95" s="6">
        <v>95.05</v>
      </c>
      <c r="J95" s="6">
        <v>77.040000000000006</v>
      </c>
      <c r="K95" s="6">
        <v>3.28</v>
      </c>
      <c r="M95">
        <f t="shared" si="5"/>
        <v>1.0238655462184454</v>
      </c>
      <c r="N95">
        <f t="shared" si="6"/>
        <v>-0.14235294117646724</v>
      </c>
      <c r="O95">
        <f t="shared" si="7"/>
        <v>1.0483006567331956</v>
      </c>
      <c r="P95">
        <f t="shared" si="8"/>
        <v>2.0264359861590742E-2</v>
      </c>
      <c r="Q95">
        <f t="shared" si="9"/>
        <v>-0.14575027187344586</v>
      </c>
    </row>
    <row r="96" spans="1:17" x14ac:dyDescent="0.25">
      <c r="A96" s="6" t="s">
        <v>924</v>
      </c>
      <c r="B96" s="6">
        <v>73.91</v>
      </c>
      <c r="C96" s="6">
        <v>7.84</v>
      </c>
      <c r="D96" s="6">
        <v>15596</v>
      </c>
      <c r="E96" s="6">
        <v>13.81</v>
      </c>
      <c r="F96" s="6">
        <v>82.99</v>
      </c>
      <c r="G96" s="6">
        <v>10.11</v>
      </c>
      <c r="H96" s="6">
        <v>6.09</v>
      </c>
      <c r="I96" s="6">
        <v>93.79</v>
      </c>
      <c r="J96" s="6">
        <v>75.73</v>
      </c>
      <c r="K96" s="6">
        <v>2.4</v>
      </c>
      <c r="M96">
        <f t="shared" si="5"/>
        <v>-1.836134453781554</v>
      </c>
      <c r="N96">
        <f t="shared" si="6"/>
        <v>-0.99235294117646689</v>
      </c>
      <c r="O96">
        <f t="shared" si="7"/>
        <v>3.3713897323636859</v>
      </c>
      <c r="P96">
        <f t="shared" si="8"/>
        <v>0.98476435986158439</v>
      </c>
      <c r="Q96">
        <f t="shared" si="9"/>
        <v>1.8220934256055707</v>
      </c>
    </row>
    <row r="97" spans="1:17" x14ac:dyDescent="0.25">
      <c r="A97" s="6" t="s">
        <v>927</v>
      </c>
      <c r="B97" s="6">
        <v>72.75</v>
      </c>
      <c r="C97" s="6">
        <v>7.59</v>
      </c>
      <c r="D97" s="6">
        <v>64367.4</v>
      </c>
      <c r="E97" s="6">
        <v>11.69</v>
      </c>
      <c r="F97" s="6">
        <v>96.43</v>
      </c>
      <c r="G97" s="6">
        <v>6.95</v>
      </c>
      <c r="H97" s="6">
        <v>8.7200000000000006</v>
      </c>
      <c r="I97" s="6">
        <v>92.22</v>
      </c>
      <c r="J97" s="6">
        <v>73.86</v>
      </c>
      <c r="K97" s="6">
        <v>4.42</v>
      </c>
      <c r="M97">
        <f t="shared" si="5"/>
        <v>-2.9961344537815506</v>
      </c>
      <c r="N97">
        <f t="shared" si="6"/>
        <v>-1.2423529411764669</v>
      </c>
      <c r="O97">
        <f t="shared" si="7"/>
        <v>8.9768216651368711</v>
      </c>
      <c r="P97">
        <f t="shared" si="8"/>
        <v>1.5434408304498177</v>
      </c>
      <c r="Q97">
        <f t="shared" si="9"/>
        <v>3.7222564508156566</v>
      </c>
    </row>
    <row r="98" spans="1:17" x14ac:dyDescent="0.25">
      <c r="A98" s="6" t="s">
        <v>931</v>
      </c>
      <c r="B98" s="6">
        <v>72.31</v>
      </c>
      <c r="C98" s="6">
        <v>7.53</v>
      </c>
      <c r="D98" s="6">
        <v>51913.4</v>
      </c>
      <c r="E98" s="6">
        <v>14.36</v>
      </c>
      <c r="F98" s="6">
        <v>85.12</v>
      </c>
      <c r="G98" s="6">
        <v>30.21</v>
      </c>
      <c r="H98" s="6">
        <v>1.83</v>
      </c>
      <c r="I98" s="6">
        <v>89.59</v>
      </c>
      <c r="J98" s="6">
        <v>74.55</v>
      </c>
      <c r="K98" s="6">
        <v>4.28</v>
      </c>
      <c r="M98">
        <f t="shared" si="5"/>
        <v>-3.4361344537815484</v>
      </c>
      <c r="N98">
        <f t="shared" si="6"/>
        <v>-1.3023529411764665</v>
      </c>
      <c r="O98">
        <f t="shared" si="7"/>
        <v>11.80701998446462</v>
      </c>
      <c r="P98">
        <f t="shared" si="8"/>
        <v>1.6961231833909929</v>
      </c>
      <c r="Q98">
        <f t="shared" si="9"/>
        <v>4.4750598121601906</v>
      </c>
    </row>
    <row r="99" spans="1:17" x14ac:dyDescent="0.25">
      <c r="A99" s="6" t="s">
        <v>935</v>
      </c>
      <c r="B99" s="6">
        <v>75.900000000000006</v>
      </c>
      <c r="C99" s="6">
        <v>8.48</v>
      </c>
      <c r="D99" s="6">
        <v>32186</v>
      </c>
      <c r="E99" s="6">
        <v>12.16</v>
      </c>
      <c r="F99" s="6">
        <v>95.88</v>
      </c>
      <c r="G99" s="6">
        <v>12.23</v>
      </c>
      <c r="H99" s="6">
        <v>7.66</v>
      </c>
      <c r="I99" s="6">
        <v>90.7</v>
      </c>
      <c r="J99" s="6">
        <v>74.8</v>
      </c>
      <c r="K99" s="6">
        <v>4.34</v>
      </c>
      <c r="M99">
        <f t="shared" si="5"/>
        <v>0.15386554621845505</v>
      </c>
      <c r="N99">
        <f t="shared" si="6"/>
        <v>-0.35235294117646632</v>
      </c>
      <c r="O99">
        <f t="shared" si="7"/>
        <v>2.3674606313103527E-2</v>
      </c>
      <c r="P99">
        <f t="shared" si="8"/>
        <v>0.12415259515570633</v>
      </c>
      <c r="Q99">
        <f t="shared" si="9"/>
        <v>-5.4214977755796152E-2</v>
      </c>
    </row>
    <row r="100" spans="1:17" x14ac:dyDescent="0.25">
      <c r="A100" s="6" t="s">
        <v>939</v>
      </c>
      <c r="B100" s="6">
        <v>78.930000000000007</v>
      </c>
      <c r="C100" s="6">
        <v>10.029999999999999</v>
      </c>
      <c r="D100" s="6">
        <v>119274.4</v>
      </c>
      <c r="E100" s="6">
        <v>10.32</v>
      </c>
      <c r="F100" s="6">
        <v>93.22</v>
      </c>
      <c r="G100" s="6">
        <v>51.25</v>
      </c>
      <c r="H100" s="6">
        <v>6.32</v>
      </c>
      <c r="I100" s="6">
        <v>91.63</v>
      </c>
      <c r="J100" s="6">
        <v>71.61</v>
      </c>
      <c r="K100" s="6">
        <v>6.45</v>
      </c>
      <c r="M100">
        <f t="shared" si="5"/>
        <v>3.1838655462184562</v>
      </c>
      <c r="N100">
        <f t="shared" si="6"/>
        <v>1.1976470588235326</v>
      </c>
      <c r="O100">
        <f t="shared" si="7"/>
        <v>10.136999816396948</v>
      </c>
      <c r="P100">
        <f t="shared" si="8"/>
        <v>1.4343584775086582</v>
      </c>
      <c r="Q100">
        <f t="shared" si="9"/>
        <v>3.8131472071181141</v>
      </c>
    </row>
    <row r="101" spans="1:17" x14ac:dyDescent="0.25">
      <c r="A101" s="6" t="s">
        <v>943</v>
      </c>
      <c r="B101" s="6">
        <v>67.33</v>
      </c>
      <c r="C101" s="6">
        <v>6.01</v>
      </c>
      <c r="D101" s="6">
        <v>17497.5</v>
      </c>
      <c r="E101" s="6">
        <v>18.66</v>
      </c>
      <c r="F101" s="6">
        <v>50.31</v>
      </c>
      <c r="G101" s="6">
        <v>3.04</v>
      </c>
      <c r="H101" s="6">
        <v>9.15</v>
      </c>
      <c r="I101" s="6">
        <v>88.09</v>
      </c>
      <c r="J101" s="6">
        <v>70.48</v>
      </c>
      <c r="K101" s="6">
        <v>5.35</v>
      </c>
      <c r="M101">
        <f t="shared" si="5"/>
        <v>-8.4161344537815523</v>
      </c>
      <c r="N101">
        <f t="shared" si="6"/>
        <v>-2.822352941176467</v>
      </c>
      <c r="O101">
        <f t="shared" si="7"/>
        <v>70.831319144128912</v>
      </c>
      <c r="P101">
        <f t="shared" si="8"/>
        <v>7.9656761245674534</v>
      </c>
      <c r="Q101">
        <f t="shared" si="9"/>
        <v>23.753301828966961</v>
      </c>
    </row>
    <row r="102" spans="1:17" x14ac:dyDescent="0.25">
      <c r="A102" s="6" t="s">
        <v>946</v>
      </c>
      <c r="B102" s="6">
        <v>66.72</v>
      </c>
      <c r="C102" s="6">
        <v>5.08</v>
      </c>
      <c r="D102" s="6">
        <v>14925.3</v>
      </c>
      <c r="E102" s="6">
        <v>20.83</v>
      </c>
      <c r="F102" s="6">
        <v>87.24</v>
      </c>
      <c r="G102" s="6">
        <v>4.18</v>
      </c>
      <c r="H102" s="6">
        <v>7.54</v>
      </c>
      <c r="I102" s="6">
        <v>87.52</v>
      </c>
      <c r="J102" s="6">
        <v>73.62</v>
      </c>
      <c r="K102" s="6">
        <v>2.5</v>
      </c>
      <c r="M102">
        <f t="shared" si="5"/>
        <v>-9.0261344537815518</v>
      </c>
      <c r="N102">
        <f t="shared" si="6"/>
        <v>-3.7523529411764667</v>
      </c>
      <c r="O102">
        <f t="shared" si="7"/>
        <v>81.471103177742393</v>
      </c>
      <c r="P102">
        <f t="shared" si="8"/>
        <v>14.080152595155679</v>
      </c>
      <c r="Q102">
        <f t="shared" si="9"/>
        <v>33.869242165101447</v>
      </c>
    </row>
    <row r="103" spans="1:17" x14ac:dyDescent="0.25">
      <c r="A103" s="6" t="s">
        <v>949</v>
      </c>
      <c r="B103" s="6">
        <v>70.849999999999994</v>
      </c>
      <c r="C103" s="6">
        <v>7.17</v>
      </c>
      <c r="D103" s="6">
        <v>13245.3</v>
      </c>
      <c r="E103" s="6">
        <v>13.41</v>
      </c>
      <c r="F103" s="6">
        <v>72.94</v>
      </c>
      <c r="G103" s="6">
        <v>7.74</v>
      </c>
      <c r="H103" s="6">
        <v>6.32</v>
      </c>
      <c r="I103" s="6">
        <v>87.6</v>
      </c>
      <c r="J103" s="6">
        <v>79.13</v>
      </c>
      <c r="K103" s="6">
        <v>1.64</v>
      </c>
      <c r="M103">
        <f t="shared" si="5"/>
        <v>-4.8961344537815563</v>
      </c>
      <c r="N103">
        <f t="shared" si="6"/>
        <v>-1.6623529411764668</v>
      </c>
      <c r="O103">
        <f t="shared" si="7"/>
        <v>23.97213258950682</v>
      </c>
      <c r="P103">
        <f t="shared" si="8"/>
        <v>2.7634173010380496</v>
      </c>
      <c r="Q103">
        <f t="shared" si="9"/>
        <v>8.1391035096392041</v>
      </c>
    </row>
    <row r="104" spans="1:17" x14ac:dyDescent="0.25">
      <c r="A104" s="6" t="s">
        <v>952</v>
      </c>
      <c r="B104" s="6">
        <v>69.78</v>
      </c>
      <c r="C104" s="6">
        <v>6.1</v>
      </c>
      <c r="D104" s="6">
        <v>27234.400000000001</v>
      </c>
      <c r="E104" s="6">
        <v>17.78</v>
      </c>
      <c r="F104" s="6">
        <v>73.31</v>
      </c>
      <c r="G104" s="6">
        <v>6.73</v>
      </c>
      <c r="H104" s="6">
        <v>8.26</v>
      </c>
      <c r="I104" s="6">
        <v>83.03</v>
      </c>
      <c r="J104" s="6">
        <v>78.16</v>
      </c>
      <c r="K104" s="6">
        <v>1.69</v>
      </c>
      <c r="M104">
        <f t="shared" si="5"/>
        <v>-5.9661344537815495</v>
      </c>
      <c r="N104">
        <f t="shared" si="6"/>
        <v>-2.7323529411764671</v>
      </c>
      <c r="O104">
        <f t="shared" si="7"/>
        <v>35.594760320599271</v>
      </c>
      <c r="P104">
        <f t="shared" si="8"/>
        <v>7.4657525951556902</v>
      </c>
      <c r="Q104">
        <f t="shared" si="9"/>
        <v>16.301585022244272</v>
      </c>
    </row>
    <row r="105" spans="1:17" x14ac:dyDescent="0.25">
      <c r="A105" s="6" t="s">
        <v>956</v>
      </c>
      <c r="B105" s="6">
        <v>81.88</v>
      </c>
      <c r="C105" s="6">
        <v>10.92</v>
      </c>
      <c r="D105" s="6">
        <v>94774.1</v>
      </c>
      <c r="E105" s="6">
        <v>6.51</v>
      </c>
      <c r="F105" s="6">
        <v>95.39</v>
      </c>
      <c r="G105" s="6">
        <v>79.64</v>
      </c>
      <c r="H105" s="6">
        <v>2.94</v>
      </c>
      <c r="I105" s="6">
        <v>95.99</v>
      </c>
      <c r="J105" s="6">
        <v>70.739999999999995</v>
      </c>
      <c r="K105" s="6">
        <v>3.91</v>
      </c>
      <c r="M105">
        <f t="shared" si="5"/>
        <v>6.1338655462184448</v>
      </c>
      <c r="N105">
        <f t="shared" si="6"/>
        <v>2.0876470588235332</v>
      </c>
      <c r="O105">
        <f t="shared" si="7"/>
        <v>37.624306539085701</v>
      </c>
      <c r="P105">
        <f t="shared" si="8"/>
        <v>4.358270242214549</v>
      </c>
      <c r="Q105">
        <f t="shared" si="9"/>
        <v>12.805346366781942</v>
      </c>
    </row>
    <row r="106" spans="1:17" x14ac:dyDescent="0.25">
      <c r="A106" s="6" t="s">
        <v>960</v>
      </c>
      <c r="B106" s="6">
        <v>81.44</v>
      </c>
      <c r="C106" s="6">
        <v>10.82</v>
      </c>
      <c r="D106" s="6">
        <v>5746.4</v>
      </c>
      <c r="E106" s="6">
        <v>6.75</v>
      </c>
      <c r="F106" s="6">
        <v>95.93</v>
      </c>
      <c r="G106" s="6">
        <v>9.9</v>
      </c>
      <c r="H106" s="6">
        <v>5.1100000000000003</v>
      </c>
      <c r="I106" s="6">
        <v>98.03</v>
      </c>
      <c r="J106" s="6">
        <v>70.44</v>
      </c>
      <c r="K106" s="6">
        <v>5.1100000000000003</v>
      </c>
      <c r="M106">
        <f t="shared" si="5"/>
        <v>5.6938655462184471</v>
      </c>
      <c r="N106">
        <f t="shared" si="6"/>
        <v>1.9876470588235335</v>
      </c>
      <c r="O106">
        <f t="shared" si="7"/>
        <v>32.420104858413495</v>
      </c>
      <c r="P106">
        <f t="shared" si="8"/>
        <v>3.9507408304498433</v>
      </c>
      <c r="Q106">
        <f t="shared" si="9"/>
        <v>11.317395106277749</v>
      </c>
    </row>
    <row r="107" spans="1:17" x14ac:dyDescent="0.25">
      <c r="A107" s="6" t="s">
        <v>964</v>
      </c>
      <c r="B107" s="6">
        <v>84.68</v>
      </c>
      <c r="C107" s="6">
        <v>11.14</v>
      </c>
      <c r="D107" s="6">
        <v>63373.3</v>
      </c>
      <c r="E107" s="6">
        <v>3.91</v>
      </c>
      <c r="F107" s="6">
        <v>87.84</v>
      </c>
      <c r="G107" s="6">
        <v>27.09</v>
      </c>
      <c r="H107" s="6">
        <v>5.13</v>
      </c>
      <c r="I107" s="6">
        <v>97.02</v>
      </c>
      <c r="J107" s="6">
        <v>67.52</v>
      </c>
      <c r="K107" s="6">
        <v>6.1</v>
      </c>
      <c r="M107">
        <f t="shared" si="5"/>
        <v>8.9338655462184562</v>
      </c>
      <c r="N107">
        <f t="shared" si="6"/>
        <v>2.3076470588235338</v>
      </c>
      <c r="O107">
        <f t="shared" si="7"/>
        <v>79.81395359790919</v>
      </c>
      <c r="P107">
        <f t="shared" si="8"/>
        <v>5.3252349480969059</v>
      </c>
      <c r="Q107">
        <f t="shared" si="9"/>
        <v>20.616208551655923</v>
      </c>
    </row>
    <row r="108" spans="1:17" x14ac:dyDescent="0.25">
      <c r="A108" s="6" t="s">
        <v>968</v>
      </c>
      <c r="B108" s="6">
        <v>77.790000000000006</v>
      </c>
      <c r="C108" s="6">
        <v>9.7200000000000006</v>
      </c>
      <c r="D108" s="6">
        <v>9893.2999999999993</v>
      </c>
      <c r="E108" s="6">
        <v>6.18</v>
      </c>
      <c r="F108" s="6">
        <v>91.59</v>
      </c>
      <c r="G108" s="6">
        <v>14.63</v>
      </c>
      <c r="H108" s="6">
        <v>3.92</v>
      </c>
      <c r="I108" s="6">
        <v>97.26</v>
      </c>
      <c r="J108" s="6">
        <v>67.55</v>
      </c>
      <c r="K108" s="6">
        <v>4.4400000000000004</v>
      </c>
      <c r="M108">
        <f t="shared" si="5"/>
        <v>2.0438655462184556</v>
      </c>
      <c r="N108">
        <f t="shared" si="6"/>
        <v>0.8876470588235339</v>
      </c>
      <c r="O108">
        <f t="shared" si="7"/>
        <v>4.1773863710188657</v>
      </c>
      <c r="P108">
        <f t="shared" si="8"/>
        <v>0.78791730103807023</v>
      </c>
      <c r="Q108">
        <f t="shared" si="9"/>
        <v>1.8142312407315677</v>
      </c>
    </row>
    <row r="109" spans="1:17" x14ac:dyDescent="0.25">
      <c r="A109" s="6" t="s">
        <v>971</v>
      </c>
      <c r="B109" s="6">
        <v>78.900000000000006</v>
      </c>
      <c r="C109" s="6">
        <v>9.94</v>
      </c>
      <c r="D109" s="6">
        <v>6998.7</v>
      </c>
      <c r="E109" s="6">
        <v>6.32</v>
      </c>
      <c r="F109" s="6">
        <v>95.52</v>
      </c>
      <c r="G109" s="6">
        <v>19.809999999999999</v>
      </c>
      <c r="H109" s="6">
        <v>3.52</v>
      </c>
      <c r="I109" s="6">
        <v>97.82</v>
      </c>
      <c r="J109" s="6">
        <v>72.72</v>
      </c>
      <c r="K109" s="6">
        <v>4.63</v>
      </c>
      <c r="M109">
        <f t="shared" si="5"/>
        <v>3.1538655462184551</v>
      </c>
      <c r="N109">
        <f t="shared" si="6"/>
        <v>1.1076470588235328</v>
      </c>
      <c r="O109">
        <f t="shared" si="7"/>
        <v>9.9468678836238347</v>
      </c>
      <c r="P109">
        <f t="shared" si="8"/>
        <v>1.2268820069204227</v>
      </c>
      <c r="Q109">
        <f t="shared" si="9"/>
        <v>3.4933698961937463</v>
      </c>
    </row>
    <row r="110" spans="1:17" x14ac:dyDescent="0.25">
      <c r="A110" s="6" t="s">
        <v>973</v>
      </c>
      <c r="B110" s="6">
        <v>81.760000000000005</v>
      </c>
      <c r="C110" s="6">
        <v>11.38</v>
      </c>
      <c r="D110" s="6">
        <v>5686.8</v>
      </c>
      <c r="E110" s="6">
        <v>5.57</v>
      </c>
      <c r="F110" s="6">
        <v>98.56</v>
      </c>
      <c r="G110" s="6">
        <v>9.34</v>
      </c>
      <c r="H110" s="6">
        <v>3.44</v>
      </c>
      <c r="I110" s="6">
        <v>95.2</v>
      </c>
      <c r="J110" s="6">
        <v>72.680000000000007</v>
      </c>
      <c r="K110" s="6">
        <v>3.76</v>
      </c>
      <c r="M110">
        <f t="shared" si="5"/>
        <v>6.0138655462184545</v>
      </c>
      <c r="N110">
        <f t="shared" si="6"/>
        <v>2.547647058823534</v>
      </c>
      <c r="O110">
        <f t="shared" si="7"/>
        <v>36.166578807993389</v>
      </c>
      <c r="P110">
        <f t="shared" si="8"/>
        <v>6.4905055363322033</v>
      </c>
      <c r="Q110">
        <f t="shared" si="9"/>
        <v>15.321206870983632</v>
      </c>
    </row>
    <row r="111" spans="1:17" x14ac:dyDescent="0.25">
      <c r="A111" s="6" t="s">
        <v>977</v>
      </c>
      <c r="B111" s="6">
        <v>84.51</v>
      </c>
      <c r="C111" s="6">
        <v>12.11</v>
      </c>
      <c r="D111" s="6">
        <v>12438.9</v>
      </c>
      <c r="E111" s="6">
        <v>4.38</v>
      </c>
      <c r="F111" s="6">
        <v>95.19</v>
      </c>
      <c r="G111" s="6">
        <v>13.63</v>
      </c>
      <c r="H111" s="6">
        <v>6.36</v>
      </c>
      <c r="I111" s="6">
        <v>95.92</v>
      </c>
      <c r="J111" s="6">
        <v>70.599999999999994</v>
      </c>
      <c r="K111" s="6">
        <v>4.3</v>
      </c>
      <c r="M111">
        <f t="shared" si="5"/>
        <v>8.7638655462184545</v>
      </c>
      <c r="N111">
        <f t="shared" si="6"/>
        <v>3.2776470588235327</v>
      </c>
      <c r="O111">
        <f t="shared" si="7"/>
        <v>76.805339312194889</v>
      </c>
      <c r="P111">
        <f t="shared" si="8"/>
        <v>10.742970242214554</v>
      </c>
      <c r="Q111">
        <f t="shared" si="9"/>
        <v>28.72485813148781</v>
      </c>
    </row>
    <row r="112" spans="1:17" x14ac:dyDescent="0.25">
      <c r="A112" s="6" t="s">
        <v>980</v>
      </c>
      <c r="B112" s="6">
        <v>84.69</v>
      </c>
      <c r="C112" s="6">
        <v>10.89</v>
      </c>
      <c r="D112" s="6">
        <v>485448.9</v>
      </c>
      <c r="E112" s="6">
        <v>3.96</v>
      </c>
      <c r="F112" s="6">
        <v>97.69</v>
      </c>
      <c r="G112" s="6">
        <v>19.07</v>
      </c>
      <c r="H112" s="6">
        <v>5.48</v>
      </c>
      <c r="I112" s="6">
        <v>95.75</v>
      </c>
      <c r="J112" s="6">
        <v>70.489999999999995</v>
      </c>
      <c r="K112" s="6">
        <v>4.91</v>
      </c>
      <c r="M112">
        <f t="shared" si="5"/>
        <v>8.9438655462184471</v>
      </c>
      <c r="N112">
        <f t="shared" si="6"/>
        <v>2.0576470588235338</v>
      </c>
      <c r="O112">
        <f t="shared" si="7"/>
        <v>79.992730908833394</v>
      </c>
      <c r="P112">
        <f t="shared" si="8"/>
        <v>4.233911418685139</v>
      </c>
      <c r="Q112">
        <f t="shared" si="9"/>
        <v>18.403318635689526</v>
      </c>
    </row>
    <row r="113" spans="1:17" x14ac:dyDescent="0.25">
      <c r="A113" s="6" t="s">
        <v>984</v>
      </c>
      <c r="B113" s="6">
        <v>79.69</v>
      </c>
      <c r="C113" s="6">
        <v>9.8699999999999992</v>
      </c>
      <c r="D113" s="6">
        <v>13588.1</v>
      </c>
      <c r="E113" s="6">
        <v>3.06</v>
      </c>
      <c r="F113" s="6">
        <v>96.39</v>
      </c>
      <c r="G113" s="6">
        <v>6.29</v>
      </c>
      <c r="H113" s="6">
        <v>8.6</v>
      </c>
      <c r="I113" s="6">
        <v>91.5</v>
      </c>
      <c r="J113" s="6">
        <v>73.53</v>
      </c>
      <c r="K113" s="6">
        <v>3.63</v>
      </c>
      <c r="M113">
        <f t="shared" si="5"/>
        <v>3.9438655462184471</v>
      </c>
      <c r="N113">
        <f t="shared" si="6"/>
        <v>1.0376470588235325</v>
      </c>
      <c r="O113">
        <f t="shared" si="7"/>
        <v>15.55407544664893</v>
      </c>
      <c r="P113">
        <f t="shared" si="8"/>
        <v>1.0767114186851274</v>
      </c>
      <c r="Q113">
        <f t="shared" si="9"/>
        <v>4.0923404844290356</v>
      </c>
    </row>
    <row r="114" spans="1:17" x14ac:dyDescent="0.25">
      <c r="A114" s="6" t="s">
        <v>988</v>
      </c>
      <c r="B114" s="6">
        <v>70.88</v>
      </c>
      <c r="C114" s="6">
        <v>7.16</v>
      </c>
      <c r="D114" s="6">
        <v>21928.59</v>
      </c>
      <c r="E114" s="6">
        <v>9.18</v>
      </c>
      <c r="F114" s="6">
        <v>63.66</v>
      </c>
      <c r="G114" s="6">
        <v>7.19</v>
      </c>
      <c r="H114" s="6">
        <v>6.67</v>
      </c>
      <c r="I114" s="6">
        <v>87.93</v>
      </c>
      <c r="J114" s="6">
        <v>66.92</v>
      </c>
      <c r="K114" s="6">
        <v>8.09</v>
      </c>
      <c r="M114">
        <f t="shared" si="5"/>
        <v>-4.8661344537815552</v>
      </c>
      <c r="N114">
        <f t="shared" si="6"/>
        <v>-1.6723529411764666</v>
      </c>
      <c r="O114">
        <f t="shared" si="7"/>
        <v>23.679264522279915</v>
      </c>
      <c r="P114">
        <f t="shared" si="8"/>
        <v>2.7967643598615783</v>
      </c>
      <c r="Q114">
        <f t="shared" si="9"/>
        <v>8.137894265941723</v>
      </c>
    </row>
    <row r="115" spans="1:17" x14ac:dyDescent="0.25">
      <c r="A115" s="6" t="s">
        <v>990</v>
      </c>
      <c r="B115" s="6">
        <v>68.33</v>
      </c>
      <c r="C115" s="6">
        <v>6.61</v>
      </c>
      <c r="D115" s="6">
        <v>23377.24</v>
      </c>
      <c r="E115" s="6">
        <v>8.44</v>
      </c>
      <c r="F115" s="6">
        <v>70.23</v>
      </c>
      <c r="G115" s="6">
        <v>9.5399999999999991</v>
      </c>
      <c r="H115" s="6">
        <v>5.81</v>
      </c>
      <c r="I115" s="6">
        <v>81.69</v>
      </c>
      <c r="J115" s="6">
        <v>72.819999999999993</v>
      </c>
      <c r="K115" s="6">
        <v>6.23</v>
      </c>
      <c r="M115">
        <f t="shared" si="5"/>
        <v>-7.4161344537815523</v>
      </c>
      <c r="N115">
        <f t="shared" si="6"/>
        <v>-2.2223529411764664</v>
      </c>
      <c r="O115">
        <f t="shared" si="7"/>
        <v>54.9990502365658</v>
      </c>
      <c r="P115">
        <f t="shared" si="8"/>
        <v>4.9388525951556908</v>
      </c>
      <c r="Q115">
        <f t="shared" si="9"/>
        <v>16.48126821552156</v>
      </c>
    </row>
    <row r="116" spans="1:17" x14ac:dyDescent="0.25">
      <c r="A116" s="6" t="s">
        <v>994</v>
      </c>
      <c r="B116" s="6">
        <v>76.19</v>
      </c>
      <c r="C116" s="6">
        <v>9.06</v>
      </c>
      <c r="D116" s="6">
        <v>113998.2</v>
      </c>
      <c r="E116" s="6">
        <v>6.55</v>
      </c>
      <c r="F116" s="6">
        <v>89.38</v>
      </c>
      <c r="G116" s="6">
        <v>33.74</v>
      </c>
      <c r="H116" s="6">
        <v>4.6100000000000003</v>
      </c>
      <c r="I116" s="6">
        <v>92.63</v>
      </c>
      <c r="J116" s="6">
        <v>65.88</v>
      </c>
      <c r="K116" s="6">
        <v>6.06</v>
      </c>
      <c r="M116">
        <f t="shared" si="5"/>
        <v>0.44386554621844709</v>
      </c>
      <c r="N116">
        <f t="shared" si="6"/>
        <v>0.22764705882353375</v>
      </c>
      <c r="O116">
        <f t="shared" si="7"/>
        <v>0.19701662311980039</v>
      </c>
      <c r="P116">
        <f t="shared" si="8"/>
        <v>5.1823183391005438E-2</v>
      </c>
      <c r="Q116">
        <f t="shared" si="9"/>
        <v>0.10104468610973076</v>
      </c>
    </row>
    <row r="117" spans="1:17" x14ac:dyDescent="0.25">
      <c r="A117" s="6" t="s">
        <v>998</v>
      </c>
      <c r="B117" s="6">
        <v>73.28</v>
      </c>
      <c r="C117" s="6">
        <v>7.88</v>
      </c>
      <c r="D117" s="6">
        <v>63255.33</v>
      </c>
      <c r="E117" s="6">
        <v>4.51</v>
      </c>
      <c r="F117" s="6">
        <v>85.31</v>
      </c>
      <c r="G117" s="6">
        <v>46.69</v>
      </c>
      <c r="H117" s="6">
        <v>5.65</v>
      </c>
      <c r="I117" s="6">
        <v>93.52</v>
      </c>
      <c r="J117" s="6">
        <v>67.77</v>
      </c>
      <c r="K117" s="6">
        <v>9.18</v>
      </c>
      <c r="M117">
        <f t="shared" si="5"/>
        <v>-2.4661344537815495</v>
      </c>
      <c r="N117">
        <f t="shared" si="6"/>
        <v>-0.95235294117646685</v>
      </c>
      <c r="O117">
        <f t="shared" si="7"/>
        <v>6.0818191441284215</v>
      </c>
      <c r="P117">
        <f t="shared" si="8"/>
        <v>0.9069761245674669</v>
      </c>
      <c r="Q117">
        <f t="shared" si="9"/>
        <v>2.3486304003954781</v>
      </c>
    </row>
    <row r="118" spans="1:17" x14ac:dyDescent="0.25">
      <c r="A118" s="6" t="s">
        <v>1002</v>
      </c>
      <c r="B118" s="6">
        <v>81.53</v>
      </c>
      <c r="C118" s="6">
        <v>11.14</v>
      </c>
      <c r="D118" s="6">
        <v>125060.3</v>
      </c>
      <c r="E118" s="6">
        <v>5.43</v>
      </c>
      <c r="F118" s="6">
        <v>96.93</v>
      </c>
      <c r="G118" s="6">
        <v>26.98</v>
      </c>
      <c r="H118" s="6">
        <v>4.03</v>
      </c>
      <c r="I118" s="6">
        <v>95.91</v>
      </c>
      <c r="J118" s="6">
        <v>66.02</v>
      </c>
      <c r="K118" s="6">
        <v>5.92</v>
      </c>
      <c r="M118">
        <f t="shared" si="5"/>
        <v>5.7838655462184505</v>
      </c>
      <c r="N118">
        <f t="shared" si="6"/>
        <v>2.3076470588235338</v>
      </c>
      <c r="O118">
        <f t="shared" si="7"/>
        <v>33.453100656732857</v>
      </c>
      <c r="P118">
        <f t="shared" si="8"/>
        <v>5.3252349480969059</v>
      </c>
      <c r="Q118">
        <f t="shared" si="9"/>
        <v>13.34712031636178</v>
      </c>
    </row>
    <row r="119" spans="1:17" x14ac:dyDescent="0.25">
      <c r="A119" s="6" t="s">
        <v>1005</v>
      </c>
      <c r="B119" s="6">
        <v>78.83</v>
      </c>
      <c r="C119" s="6">
        <v>10.39</v>
      </c>
      <c r="D119" s="6">
        <v>88628.11</v>
      </c>
      <c r="E119" s="6">
        <v>3.75</v>
      </c>
      <c r="F119" s="6">
        <v>97.1</v>
      </c>
      <c r="G119" s="6">
        <v>56.16</v>
      </c>
      <c r="H119" s="6">
        <v>5.05</v>
      </c>
      <c r="I119" s="6">
        <v>89.17</v>
      </c>
      <c r="J119" s="6">
        <v>60.83</v>
      </c>
      <c r="K119" s="6">
        <v>6.08</v>
      </c>
      <c r="M119">
        <f t="shared" si="5"/>
        <v>3.0838655462184477</v>
      </c>
      <c r="N119">
        <f t="shared" si="6"/>
        <v>1.5576470588235338</v>
      </c>
      <c r="O119">
        <f t="shared" si="7"/>
        <v>9.5102267071532047</v>
      </c>
      <c r="P119">
        <f t="shared" si="8"/>
        <v>2.4262643598616056</v>
      </c>
      <c r="Q119">
        <f t="shared" si="9"/>
        <v>4.8035740978743959</v>
      </c>
    </row>
    <row r="120" spans="1:17" x14ac:dyDescent="0.25">
      <c r="A120" s="6" t="s">
        <v>1009</v>
      </c>
      <c r="B120" s="6">
        <v>76.900000000000006</v>
      </c>
      <c r="C120" s="6">
        <v>8.93</v>
      </c>
      <c r="D120" s="6">
        <v>26863.08</v>
      </c>
      <c r="E120" s="6">
        <v>5.65</v>
      </c>
      <c r="F120" s="6">
        <v>92.71</v>
      </c>
      <c r="G120" s="6">
        <v>4.6100000000000003</v>
      </c>
      <c r="H120" s="6">
        <v>6.45</v>
      </c>
      <c r="I120" s="6">
        <v>93.59</v>
      </c>
      <c r="J120" s="6">
        <v>69.099999999999994</v>
      </c>
      <c r="K120" s="6">
        <v>7.12</v>
      </c>
      <c r="M120">
        <f t="shared" si="5"/>
        <v>1.1538655462184551</v>
      </c>
      <c r="N120">
        <f t="shared" si="6"/>
        <v>9.7647058823532973E-2</v>
      </c>
      <c r="O120">
        <f t="shared" si="7"/>
        <v>1.3314056987500136</v>
      </c>
      <c r="P120">
        <f t="shared" si="8"/>
        <v>9.5349480968865089E-3</v>
      </c>
      <c r="Q120">
        <f t="shared" si="9"/>
        <v>0.11267157686604148</v>
      </c>
    </row>
    <row r="121" spans="1:17" x14ac:dyDescent="0.25">
      <c r="A121" s="6" t="s">
        <v>1013</v>
      </c>
      <c r="B121" s="6">
        <v>84.16</v>
      </c>
      <c r="C121" s="6">
        <v>11.86</v>
      </c>
      <c r="D121" s="6">
        <v>73052.84</v>
      </c>
      <c r="E121" s="6">
        <v>2.36</v>
      </c>
      <c r="F121" s="6">
        <v>99.34</v>
      </c>
      <c r="G121" s="6">
        <v>8.09</v>
      </c>
      <c r="H121" s="6">
        <v>7.96</v>
      </c>
      <c r="I121" s="6">
        <v>95.29</v>
      </c>
      <c r="J121" s="6">
        <v>58.13</v>
      </c>
      <c r="K121" s="6">
        <v>5.09</v>
      </c>
      <c r="M121">
        <f t="shared" si="5"/>
        <v>8.413865546218446</v>
      </c>
      <c r="N121">
        <f t="shared" si="6"/>
        <v>3.0276470588235327</v>
      </c>
      <c r="O121">
        <f>M121^2</f>
        <v>70.793133429841831</v>
      </c>
      <c r="P121">
        <f t="shared" si="8"/>
        <v>9.1666467128027875</v>
      </c>
      <c r="Q121">
        <f t="shared" si="9"/>
        <v>25.474215274344935</v>
      </c>
    </row>
    <row r="122" spans="1:17" x14ac:dyDescent="0.25">
      <c r="B122" s="33">
        <f>AVERAGE(B3:B121)</f>
        <v>75.746134453781551</v>
      </c>
      <c r="C122" s="34">
        <f>AVERAGE(C3:C121)</f>
        <v>8.8323529411764667</v>
      </c>
      <c r="M122" s="16">
        <f>SUM(M3:M121)</f>
        <v>-4.5758952182950452E-12</v>
      </c>
      <c r="N122" s="17">
        <f>SUM(N3:N121)</f>
        <v>4.5830006456526462E-13</v>
      </c>
      <c r="O122" s="18">
        <f>SUM(O3:O121)</f>
        <v>2969.6208218487391</v>
      </c>
      <c r="P122" s="19">
        <f>SUM(P3:P121)</f>
        <v>319.19214117647056</v>
      </c>
      <c r="Q122" s="20">
        <f>SUM(Q3:Q121)</f>
        <v>917.66998235294102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546875" defaultRowHeight="15.75" customHeight="1" x14ac:dyDescent="0.25"/>
  <sheetData>
    <row r="1" spans="1:60" ht="42.45" customHeight="1" x14ac:dyDescent="0.25">
      <c r="A1" s="24" t="s">
        <v>0</v>
      </c>
      <c r="B1" s="26" t="s">
        <v>1</v>
      </c>
      <c r="C1" s="21" t="s">
        <v>2</v>
      </c>
      <c r="D1" s="22"/>
      <c r="E1" s="22"/>
      <c r="F1" s="22"/>
      <c r="G1" s="23"/>
      <c r="H1" s="27" t="s">
        <v>3</v>
      </c>
      <c r="I1" s="22"/>
      <c r="J1" s="22"/>
      <c r="K1" s="22"/>
      <c r="L1" s="23"/>
      <c r="M1" s="21" t="s">
        <v>4</v>
      </c>
      <c r="N1" s="22"/>
      <c r="O1" s="22"/>
      <c r="P1" s="22"/>
      <c r="Q1" s="23"/>
      <c r="R1" s="28" t="s">
        <v>5</v>
      </c>
      <c r="S1" s="22"/>
      <c r="T1" s="22"/>
      <c r="U1" s="22"/>
      <c r="V1" s="23"/>
      <c r="W1" s="29" t="s">
        <v>6</v>
      </c>
      <c r="X1" s="22"/>
      <c r="Y1" s="22"/>
      <c r="Z1" s="22"/>
      <c r="AA1" s="23"/>
      <c r="AB1" s="30" t="s">
        <v>7</v>
      </c>
      <c r="AC1" s="22"/>
      <c r="AD1" s="23"/>
      <c r="AE1" s="21" t="s">
        <v>8</v>
      </c>
      <c r="AF1" s="22"/>
      <c r="AG1" s="22"/>
      <c r="AH1" s="22"/>
      <c r="AI1" s="23"/>
      <c r="AJ1" s="28" t="s">
        <v>9</v>
      </c>
      <c r="AK1" s="22"/>
      <c r="AL1" s="22"/>
      <c r="AM1" s="22"/>
      <c r="AN1" s="23"/>
      <c r="AO1" s="21" t="s">
        <v>10</v>
      </c>
      <c r="AP1" s="22"/>
      <c r="AQ1" s="22"/>
      <c r="AR1" s="22"/>
      <c r="AS1" s="23"/>
      <c r="AT1" s="28" t="s">
        <v>11</v>
      </c>
      <c r="AU1" s="22"/>
      <c r="AV1" s="22"/>
      <c r="AW1" s="22"/>
      <c r="AX1" s="23"/>
      <c r="AY1" s="21" t="s">
        <v>12</v>
      </c>
      <c r="AZ1" s="22"/>
      <c r="BA1" s="22"/>
      <c r="BB1" s="22"/>
      <c r="BC1" s="23"/>
      <c r="BD1" s="1"/>
      <c r="BE1" s="2"/>
      <c r="BF1" s="2"/>
      <c r="BG1" s="2"/>
      <c r="BH1" s="2"/>
    </row>
    <row r="2" spans="1:60" ht="13.2" x14ac:dyDescent="0.25">
      <c r="A2" s="25"/>
      <c r="B2" s="25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3.2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3.2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3.2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3.2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3.2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3.2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3.2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3.2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3.2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3.2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3.2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3.2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3.2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3.2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3.2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3.2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3.2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3.2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3.2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3.2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3.2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3.2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3.2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3.2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3.2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3.2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3.2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3.2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3.2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3.2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3.2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3.2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3.2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3.2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3.2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3.2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3.2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3.2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3.2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3.2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3.2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3.2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3.2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3.2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3.2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3.2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3.2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3.2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3.2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3.2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3.2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3.2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3.2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3.2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3.2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3.2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3.2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3.2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3.2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3.2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3.2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3.2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3.2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3.2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3.2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3.2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3.2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3.2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3.2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3.2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3.2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3.2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3.2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3.2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3.2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3.2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3.2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3.2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3.2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3.2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3.2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3.2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3.2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3.2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3.2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3.2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3.2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3.2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3.2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3.2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3.2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3.2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3.2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3.2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3.2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3.2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3.2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3.2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3.2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3.2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3.2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3.2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3.2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3.2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3.2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3.2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3.2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3.2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3.2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3.2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3.2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3.2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3.2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3.2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3.2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3.2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3.2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3.2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3.2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3.2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3.2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3.2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3.2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3.2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3.2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3.2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3.2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3.2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3.2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3.2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3.2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3.2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3.2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3.2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3.2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3.2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3.2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3.2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3.2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3.2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3.2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3.2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3.2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3.2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3.2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3.2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3.2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3.2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3.2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3.2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3.2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3.2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3.2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3.2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3.2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3.2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3.2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3.2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3.2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3.2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3.2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3.2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3.2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3.2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3.2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3.2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3.2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3.2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3.2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3.2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3.2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3.2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3.2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3.2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3.2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3.2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3.2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3.2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3.2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3.2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3.2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3.2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3.2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3.2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3.2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3.2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3.2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3.2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3.2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3.2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3.2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3.2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3.2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3.2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3.2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3.2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3.2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3.2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3.2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3.2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3.2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3.2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3.2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3.2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3.2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3.2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3.2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3.2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3.2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3.2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3.2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3.2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3.2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3.2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3.2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3.2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3.2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3.2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3.2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3.2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3.2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3.2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3.2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3.2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3.2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3.2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3.2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3.2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3.2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3.2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3.2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3.2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3.2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3.2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3.2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3.2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3.2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3.2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3.2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3.2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3.2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3.2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3.2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3.2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3.2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3.2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3.2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3.2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3.2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3.2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3.2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3.2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3.2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3.2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3.2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3.2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3.2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3.2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3.2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3.2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3.2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3.2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3.2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3.2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3.2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3.2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3.2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3.2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3.2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3.2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3.2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3.2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3.2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3.2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3.2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3.2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3.2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3.2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3.2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3.2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3.2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3.2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3.2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3.2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3.2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3.2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3.2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3.2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3.2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3.2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3.2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3.2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3.2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3.2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6" x14ac:dyDescent="0.3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6" x14ac:dyDescent="0.3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6" x14ac:dyDescent="0.3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6" x14ac:dyDescent="0.3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6" x14ac:dyDescent="0.3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6" x14ac:dyDescent="0.3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6" x14ac:dyDescent="0.3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6" x14ac:dyDescent="0.3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6" x14ac:dyDescent="0.3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6" x14ac:dyDescent="0.3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6" x14ac:dyDescent="0.3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6" x14ac:dyDescent="0.3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6" x14ac:dyDescent="0.3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6" x14ac:dyDescent="0.3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3.2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3.2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3.2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3.2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3.2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3.2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3.2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3.2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3.2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3.2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3.2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3.2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3.2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3.2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3.2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3.2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3.2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3.2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3.2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3.2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3.2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3.2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3.2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3.2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3.2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3.2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3.2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3.2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3.2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3.2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3.2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3.2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3.2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3.2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3.2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3.2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3.2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3.2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3.2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3.2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3.2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3.2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3.2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3.2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3.2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3.2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3.2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3.2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3.2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3.2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3.2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3.2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3.2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3.2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3.2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3.2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3.2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3.2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3.2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3.2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3.2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3.2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3.2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3.2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3.2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3.2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3.2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3.2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3.2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3.2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3.2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3.2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3.2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3.2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3.2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3.2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3.2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3.2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3.2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3.2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3.2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3.2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3.2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3.2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3.2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3.2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3.2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3.2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3.2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3.2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3.2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3.2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3.2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3.2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3.2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3.2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3.2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3.2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3.2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3.2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3.2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3.2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3.2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3.2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3.2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3.2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3.2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3.2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3.2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3.2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3.2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3.2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3.2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3.2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3.2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3.2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3.2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3.2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3.2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3.2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3.2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3.2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3.2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3.2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3.2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3.2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3.2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3.2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3.2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3.2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3.2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3.2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3.2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3.2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3.2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3.2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3.2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3.2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3.2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3.2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3.2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3.2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3.2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3.2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3.2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3.2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3.2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3.2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3.2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3.2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3.2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3.2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3.2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3.2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3.2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3.2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3.2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3.2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3.2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3.2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3.2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3.2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3.2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3.2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3.2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3.2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3.2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3.2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3.2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3.2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3.2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3.2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3.2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3.2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3.2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3.2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3.2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3.2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3.2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3.2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3.2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3.2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3.2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3.2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3.2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3.2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OPIK</dc:creator>
  <cp:lastModifiedBy>kholishotur rofi'ah</cp:lastModifiedBy>
  <dcterms:created xsi:type="dcterms:W3CDTF">2026-02-03T07:39:01Z</dcterms:created>
  <dcterms:modified xsi:type="dcterms:W3CDTF">2026-02-09T17:12:38Z</dcterms:modified>
</cp:coreProperties>
</file>